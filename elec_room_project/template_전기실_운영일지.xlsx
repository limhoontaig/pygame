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ource\pygame\elec_room_project\"/>
    </mc:Choice>
  </mc:AlternateContent>
  <xr:revisionPtr revIDLastSave="0" documentId="13_ncr:1_{D7D69110-4E31-46BE-88A9-284E40C5C3BD}" xr6:coauthVersionLast="47" xr6:coauthVersionMax="47" xr10:uidLastSave="{00000000-0000-0000-0000-000000000000}"/>
  <bookViews>
    <workbookView xWindow="28680" yWindow="-120" windowWidth="29040" windowHeight="15720" activeTab="1" xr2:uid="{943AB7D1-EB27-49C3-9C36-555299583416}"/>
  </bookViews>
  <sheets>
    <sheet name="전력설비_운전현황" sheetId="4" r:id="rId1"/>
    <sheet name="상세내역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4" l="1"/>
  <c r="G21" i="4"/>
</calcChain>
</file>

<file path=xl/sharedStrings.xml><?xml version="1.0" encoding="utf-8"?>
<sst xmlns="http://schemas.openxmlformats.org/spreadsheetml/2006/main" count="283" uniqueCount="227">
  <si>
    <t>실내온도</t>
  </si>
  <si>
    <t xml:space="preserve"> 구    분</t>
  </si>
  <si>
    <t>산 업 용 ( 급수, 정화조 ) / 80배</t>
  </si>
  <si>
    <t>가 로 등 ( LV10 )</t>
  </si>
  <si>
    <t>유 효 전 력
(kW) 4번</t>
  </si>
  <si>
    <t>무 효 전 력
(kVR) 5번</t>
  </si>
  <si>
    <t>유 효 전 력
중간 (13번)</t>
  </si>
  <si>
    <t>유 효 전 력
최대 14번</t>
  </si>
  <si>
    <t>유 효 전 력
경부하 15번</t>
  </si>
  <si>
    <t>유효전력
중간 (13번)</t>
  </si>
  <si>
    <t>유효전력
최대 14번</t>
  </si>
  <si>
    <t>유효전력
경부하 15번</t>
  </si>
  <si>
    <t>금 일 지 침</t>
  </si>
  <si>
    <t>전 일 지침</t>
  </si>
  <si>
    <t>지 침 차 이</t>
  </si>
  <si>
    <t>일 사용량</t>
  </si>
  <si>
    <t>월 누계</t>
  </si>
  <si>
    <t>역    률</t>
  </si>
  <si>
    <t>구분</t>
  </si>
  <si>
    <t>특 이 사 항</t>
  </si>
  <si>
    <t>금일지침</t>
  </si>
  <si>
    <t>전일지침</t>
  </si>
  <si>
    <t>일사용량</t>
  </si>
  <si>
    <t xml:space="preserve"> </t>
  </si>
  <si>
    <t>한 전 메 인 / 2400배</t>
  </si>
  <si>
    <t>전월지침</t>
  </si>
  <si>
    <t>월평균
역률(%)</t>
  </si>
  <si>
    <t>min( "KEP_V_R")</t>
  </si>
  <si>
    <t>min( "KEP_V_S")</t>
  </si>
  <si>
    <t>min( "KEP_V_T")</t>
  </si>
  <si>
    <t>min( "KEP_V_R_S")</t>
  </si>
  <si>
    <t>min( "KEP_V_S_T")</t>
  </si>
  <si>
    <t>min( "KEP_V_T_R")</t>
  </si>
  <si>
    <t>min("KEP_A_R")</t>
  </si>
  <si>
    <t>min("KEP_A_S")</t>
  </si>
  <si>
    <t>min("KEP_A_T")</t>
  </si>
  <si>
    <t>min("KEP_P_kW")</t>
  </si>
  <si>
    <t>max( "Tr1_V_R")</t>
  </si>
  <si>
    <t>min( "Tr1_V_R")</t>
  </si>
  <si>
    <t>max( "Tr1_V_S")</t>
  </si>
  <si>
    <t>min( "Tr1_V_S")</t>
  </si>
  <si>
    <t>max( "Tr1_V_T")</t>
  </si>
  <si>
    <t>min( "Tr1_V_T")</t>
  </si>
  <si>
    <t>max( "Tr1_V_R_S")</t>
  </si>
  <si>
    <t>min( "Tr1_V_R_S")</t>
  </si>
  <si>
    <t>max( "Tr1_V_S_T")</t>
  </si>
  <si>
    <t>min( "Tr1_V_S_T")</t>
  </si>
  <si>
    <t>max( "Tr1_V_T_R")</t>
  </si>
  <si>
    <t>min( "Tr1_V_T_R")</t>
  </si>
  <si>
    <t>max("Tr1_A_R")</t>
  </si>
  <si>
    <t>min("Tr1_A_R")</t>
  </si>
  <si>
    <t>max("Tr1_A_S")</t>
  </si>
  <si>
    <t>min("Tr1_A_S")</t>
  </si>
  <si>
    <t>max("Tr1_A_T")</t>
  </si>
  <si>
    <t>min("Tr1_A_T")</t>
  </si>
  <si>
    <t>max("Tr1_P_kW")</t>
  </si>
  <si>
    <t>min("Tr1_P_kW")</t>
  </si>
  <si>
    <t>max( "Tr2_V_R")</t>
  </si>
  <si>
    <t>min( "Tr2_V_R")</t>
  </si>
  <si>
    <t>max( "Tr2_V_S")</t>
  </si>
  <si>
    <t>min( "Tr2_V_S")</t>
  </si>
  <si>
    <t>max( "Tr2_V_T")</t>
  </si>
  <si>
    <t>min( "Tr2_V_T")</t>
  </si>
  <si>
    <t>max( "Tr2_V_R_S")</t>
  </si>
  <si>
    <t>min( "Tr2_V_R_S")</t>
  </si>
  <si>
    <t>max( "Tr2_V_S_T")</t>
  </si>
  <si>
    <t>min( "Tr2_V_S_T")</t>
  </si>
  <si>
    <t>max( "Tr2_V_T_R")</t>
  </si>
  <si>
    <t>min( "Tr2_V_T_R")</t>
  </si>
  <si>
    <t>max("Tr2_A_R")</t>
  </si>
  <si>
    <t>min("Tr2_A_R")</t>
  </si>
  <si>
    <t>max("Tr2_A_S")</t>
  </si>
  <si>
    <t>min("Tr2_A_S")</t>
  </si>
  <si>
    <t>max("Tr2_A_T")</t>
  </si>
  <si>
    <t>min("Tr2_A_T")</t>
  </si>
  <si>
    <t>max("Tr2_P_kW")</t>
  </si>
  <si>
    <t>min("Tr2_P_kW")</t>
  </si>
  <si>
    <t>max( "Tr3_V_R")</t>
  </si>
  <si>
    <t>min( "Tr3_V_R")</t>
  </si>
  <si>
    <t>max( "Tr3_V_S")</t>
  </si>
  <si>
    <t>min( "Tr3_V_S")</t>
  </si>
  <si>
    <t>max( "Tr3_V_T")</t>
  </si>
  <si>
    <t>min( "Tr3_V_T")</t>
  </si>
  <si>
    <t>max( "Tr3_V_R_S")</t>
  </si>
  <si>
    <t>min( "Tr3_V_R_S")</t>
  </si>
  <si>
    <t>max( "Tr3_V_S_T")</t>
  </si>
  <si>
    <t>min( "Tr3_V_S_T")</t>
  </si>
  <si>
    <t>max( "Tr3_V_T_R")</t>
  </si>
  <si>
    <t>min( "Tr3_V_T_R")</t>
  </si>
  <si>
    <t>max("Tr3_A_R")</t>
  </si>
  <si>
    <t>min("Tr3_A_R")</t>
  </si>
  <si>
    <t>max("Tr3_A_S")</t>
  </si>
  <si>
    <t>min("Tr3_A_S")</t>
  </si>
  <si>
    <t>max("Tr3_A_T")</t>
  </si>
  <si>
    <t>min("Tr3_A_T")</t>
  </si>
  <si>
    <t>max("Tr3_P_kW")</t>
  </si>
  <si>
    <t>min("Tr3_P_kW")</t>
  </si>
  <si>
    <t xml:space="preserve"> "SF운전시간"</t>
  </si>
  <si>
    <t xml:space="preserve"> "EF운전시간"</t>
  </si>
  <si>
    <t xml:space="preserve">  "KEP_A_R"</t>
  </si>
  <si>
    <t xml:space="preserve"> "KEP_A_S"</t>
  </si>
  <si>
    <t xml:space="preserve"> "KEP_A_T"</t>
  </si>
  <si>
    <t xml:space="preserve"> "KEP_V_R"</t>
  </si>
  <si>
    <t xml:space="preserve"> "KEP_V_S"</t>
  </si>
  <si>
    <t xml:space="preserve"> "KEP_V_T"</t>
  </si>
  <si>
    <t xml:space="preserve"> "KEP_V_R_S"</t>
  </si>
  <si>
    <t xml:space="preserve"> "KEP_V_S_T"</t>
  </si>
  <si>
    <t xml:space="preserve"> "KEP_V_T_R"</t>
  </si>
  <si>
    <t xml:space="preserve"> "KEP_frequency"</t>
  </si>
  <si>
    <t xml:space="preserve">  "KEP_P_kW"</t>
  </si>
  <si>
    <t xml:space="preserve"> "KEP_P_kWh"</t>
  </si>
  <si>
    <t xml:space="preserve">  "Tr1_A_R"</t>
  </si>
  <si>
    <t xml:space="preserve"> "Tr1_A_S"</t>
  </si>
  <si>
    <t xml:space="preserve"> "Tr1_A_T"</t>
  </si>
  <si>
    <t xml:space="preserve"> "Tr1_V_R"</t>
  </si>
  <si>
    <t xml:space="preserve"> "Tr1_V_S"</t>
  </si>
  <si>
    <t xml:space="preserve"> "Tr1_V_T"</t>
  </si>
  <si>
    <t xml:space="preserve"> "Tr1_V_R_S"</t>
  </si>
  <si>
    <t xml:space="preserve"> "Tr1_V_S_T"</t>
  </si>
  <si>
    <t xml:space="preserve"> "Tr1_V_T_R"</t>
  </si>
  <si>
    <t xml:space="preserve"> "Tr1_P_kW"</t>
  </si>
  <si>
    <t xml:space="preserve"> "Tr1_Temp"</t>
  </si>
  <si>
    <t xml:space="preserve"> "Tr2_A_R"</t>
  </si>
  <si>
    <t xml:space="preserve"> "Tr2_A_S"</t>
  </si>
  <si>
    <t xml:space="preserve"> "Tr2_A_T"</t>
  </si>
  <si>
    <t xml:space="preserve"> "Tr2_V_R"</t>
  </si>
  <si>
    <t xml:space="preserve"> "Tr2_V_S"</t>
  </si>
  <si>
    <t xml:space="preserve"> "Tr2_V_T"</t>
  </si>
  <si>
    <t xml:space="preserve"> "Tr2_V_R_S"</t>
  </si>
  <si>
    <t xml:space="preserve"> "Tr2_V_S_T"</t>
  </si>
  <si>
    <t xml:space="preserve"> "Tr2_V_T_R"</t>
  </si>
  <si>
    <t xml:space="preserve"> "Tr2_P_kW"</t>
  </si>
  <si>
    <t xml:space="preserve"> "Tr2_Temp"</t>
  </si>
  <si>
    <t xml:space="preserve"> "Tr3_A_R"</t>
  </si>
  <si>
    <t xml:space="preserve"> "Tr3_A_S"</t>
  </si>
  <si>
    <t xml:space="preserve"> "Tr3_A_T"</t>
  </si>
  <si>
    <t xml:space="preserve"> "Tr3_V_R"</t>
  </si>
  <si>
    <t xml:space="preserve"> "Tr3_V_S"</t>
  </si>
  <si>
    <t xml:space="preserve"> "Tr3_V_T"</t>
  </si>
  <si>
    <t xml:space="preserve"> "Tr3_V_R_S"</t>
  </si>
  <si>
    <t xml:space="preserve"> "Tr3_V_S_T"</t>
  </si>
  <si>
    <t xml:space="preserve"> "Tr3_V_T_R"</t>
  </si>
  <si>
    <t xml:space="preserve"> "Tr3_P_kW"</t>
  </si>
  <si>
    <t xml:space="preserve"> "Tr3_Temp"</t>
  </si>
  <si>
    <t>별도 첨부 : 래미안개포루체하임아파트 전력설비 운영 상세 자료</t>
  </si>
  <si>
    <t xml:space="preserve">일자 : </t>
  </si>
  <si>
    <t>시간</t>
  </si>
  <si>
    <t>외기온도</t>
  </si>
  <si>
    <t>환기설비 운전시간</t>
  </si>
  <si>
    <t>한전전원 품질(전압, 전류, 주파수, 전력 등)</t>
  </si>
  <si>
    <t>변압기 1 운전현황</t>
  </si>
  <si>
    <t>급기휀</t>
  </si>
  <si>
    <t>배기휀</t>
  </si>
  <si>
    <t>R상 전류</t>
  </si>
  <si>
    <t>S상 전류</t>
  </si>
  <si>
    <t>T상 전류</t>
  </si>
  <si>
    <t>R상 전압</t>
  </si>
  <si>
    <t>S상 전압</t>
  </si>
  <si>
    <t>T상 전압</t>
  </si>
  <si>
    <t>R-S 전압</t>
  </si>
  <si>
    <t>S-T 전압</t>
  </si>
  <si>
    <t>T-R 전압</t>
  </si>
  <si>
    <t>주파수</t>
  </si>
  <si>
    <t>전력</t>
  </si>
  <si>
    <t>누적 전력량</t>
  </si>
  <si>
    <t>온도</t>
  </si>
  <si>
    <t>"실내온도"</t>
  </si>
  <si>
    <t>"외기온도"</t>
  </si>
  <si>
    <t>변압기 2 운전현황</t>
  </si>
  <si>
    <t>변압기 3 운전현황</t>
  </si>
  <si>
    <t>래미안개포루체하임아파트 전기설비 운영일지</t>
  </si>
  <si>
    <t xml:space="preserve">일시 : 2026년 05월 21일 </t>
  </si>
  <si>
    <t xml:space="preserve">날씨 : </t>
  </si>
  <si>
    <t xml:space="preserve">담당자 : </t>
  </si>
  <si>
    <t>1. 전력설비 운영 현황 분석자료</t>
  </si>
  <si>
    <t>한전 (kV, A)</t>
  </si>
  <si>
    <t>변압기1 (V, A)</t>
  </si>
  <si>
    <t>변압기2 (V, A)</t>
  </si>
  <si>
    <t>변압기3 (V, A)</t>
  </si>
  <si>
    <t>최고값</t>
  </si>
  <si>
    <t>최저값</t>
  </si>
  <si>
    <t>상전압</t>
  </si>
  <si>
    <t>R</t>
  </si>
  <si>
    <t>max( "KEP_V_R")</t>
  </si>
  <si>
    <t>S</t>
  </si>
  <si>
    <t>max( "KEP_V_S")</t>
  </si>
  <si>
    <t>T</t>
  </si>
  <si>
    <t>max( "KEP_V_T")</t>
  </si>
  <si>
    <t>선간전압</t>
  </si>
  <si>
    <t>R-S</t>
  </si>
  <si>
    <t>max( "KEP_V_R_S")</t>
  </si>
  <si>
    <t>S-T</t>
  </si>
  <si>
    <t>max( "KEP_V_S_T")</t>
  </si>
  <si>
    <t>T-R</t>
  </si>
  <si>
    <t>max( "KEP_V_T_R")</t>
  </si>
  <si>
    <t>상전류</t>
  </si>
  <si>
    <t>max("KEP_A_R")</t>
  </si>
  <si>
    <t>max("KEP_A_S")</t>
  </si>
  <si>
    <t>max("KEP_A_T")</t>
  </si>
  <si>
    <t>(kW)</t>
  </si>
  <si>
    <t>max("KEP_P_kW")</t>
  </si>
  <si>
    <t>변압기 온도</t>
  </si>
  <si>
    <t>max("Tr1_Temp")</t>
  </si>
  <si>
    <t>min("Tr1_Temp")</t>
  </si>
  <si>
    <t>max("Tr2_Temp")</t>
  </si>
  <si>
    <t>min("Tr2_Temp")</t>
  </si>
  <si>
    <t>max("Tr3_Temp")</t>
  </si>
  <si>
    <t>min("Tr3_Temp")</t>
  </si>
  <si>
    <t>2. 사용 전력량 현황</t>
  </si>
  <si>
    <t>전력량 (kWh)</t>
  </si>
  <si>
    <t>시작 전력량</t>
  </si>
  <si>
    <t>마지막 전력량</t>
  </si>
  <si>
    <t>일일사용 전력량</t>
  </si>
  <si>
    <t>일간 전력량</t>
  </si>
  <si>
    <t>max("KEP_P_kWh")</t>
  </si>
  <si>
    <t>월간전력량</t>
  </si>
  <si>
    <t>3. 전력량계 적산현황</t>
  </si>
  <si>
    <t>지열 1
(3동B1좌측)</t>
  </si>
  <si>
    <t>지열 2
(1동B2펌프실)</t>
  </si>
  <si>
    <t>지열 3
(2단지통로끝)</t>
  </si>
  <si>
    <t>유 효 전 력
(kW) 4번</t>
    <phoneticPr fontId="1" type="noConversion"/>
  </si>
  <si>
    <t>시설대리</t>
    <phoneticPr fontId="1" type="noConversion"/>
  </si>
  <si>
    <t>관리과장</t>
    <phoneticPr fontId="1" type="noConversion"/>
  </si>
  <si>
    <t>소    장</t>
    <phoneticPr fontId="1" type="noConversion"/>
  </si>
  <si>
    <t>min("KEP_P_kWh")</t>
    <phoneticPr fontId="1" type="noConversion"/>
  </si>
  <si>
    <t>월시작 전력량("KEP_P_kWh")</t>
    <phoneticPr fontId="1" type="noConversion"/>
  </si>
  <si>
    <t>보고서 작성날 최종 전력량("KEP_P_kWh")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</si>
</sst>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24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0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aemi\Downloads\&#51068;&#51648;0514.xlsx" TargetMode="External"/><Relationship Id="rId1" Type="http://schemas.openxmlformats.org/officeDocument/2006/relationships/externalLinkPath" Target="file:///C:\Users\raemi\Downloads\&#51068;&#51648;05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수변전일지"/>
      <sheetName val="열교환설비일지"/>
      <sheetName val="업무일지"/>
      <sheetName val="결제란"/>
      <sheetName val="Sheet1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20E22-B2AD-4E48-8A7C-927ABD1A16FA}">
  <dimension ref="A1:Q57"/>
  <sheetViews>
    <sheetView topLeftCell="A28" workbookViewId="0">
      <selection activeCell="F46" sqref="F46"/>
    </sheetView>
  </sheetViews>
  <sheetFormatPr defaultRowHeight="17.399999999999999" x14ac:dyDescent="0.4"/>
  <cols>
    <col min="1" max="1" width="9.09765625" customWidth="1"/>
    <col min="2" max="2" width="9.3984375" customWidth="1"/>
    <col min="3" max="10" width="16.296875" customWidth="1"/>
    <col min="11" max="11" width="22.19921875" bestFit="1" customWidth="1"/>
  </cols>
  <sheetData>
    <row r="1" spans="1:10" ht="23.4" customHeight="1" x14ac:dyDescent="0.4">
      <c r="H1" s="1" t="s">
        <v>221</v>
      </c>
      <c r="I1" s="1" t="s">
        <v>222</v>
      </c>
      <c r="J1" s="1" t="s">
        <v>223</v>
      </c>
    </row>
    <row r="2" spans="1:10" ht="65.400000000000006" customHeight="1" x14ac:dyDescent="0.4">
      <c r="A2" s="29" t="s">
        <v>170</v>
      </c>
      <c r="B2" s="29"/>
      <c r="C2" s="29"/>
      <c r="D2" s="29"/>
      <c r="E2" s="29"/>
      <c r="F2" s="29"/>
      <c r="G2" s="29"/>
      <c r="H2" s="2"/>
      <c r="I2" s="2"/>
      <c r="J2" s="2"/>
    </row>
    <row r="3" spans="1:10" ht="25.8" customHeight="1" x14ac:dyDescent="0.4">
      <c r="A3" t="s">
        <v>171</v>
      </c>
      <c r="D3" t="s">
        <v>172</v>
      </c>
      <c r="E3" t="s">
        <v>173</v>
      </c>
    </row>
    <row r="4" spans="1:10" ht="35.4" customHeight="1" x14ac:dyDescent="0.4">
      <c r="A4" s="30" t="s">
        <v>174</v>
      </c>
    </row>
    <row r="5" spans="1:10" ht="35.4" customHeight="1" x14ac:dyDescent="0.4">
      <c r="A5" s="9" t="s">
        <v>18</v>
      </c>
      <c r="B5" s="9"/>
      <c r="C5" s="9" t="s">
        <v>175</v>
      </c>
      <c r="D5" s="9"/>
      <c r="E5" s="9" t="s">
        <v>176</v>
      </c>
      <c r="F5" s="9"/>
      <c r="G5" s="9" t="s">
        <v>177</v>
      </c>
      <c r="H5" s="9"/>
      <c r="I5" s="9" t="s">
        <v>178</v>
      </c>
      <c r="J5" s="9"/>
    </row>
    <row r="6" spans="1:10" ht="35.4" customHeight="1" x14ac:dyDescent="0.4">
      <c r="A6" s="9"/>
      <c r="B6" s="9"/>
      <c r="C6" s="1" t="s">
        <v>179</v>
      </c>
      <c r="D6" s="1" t="s">
        <v>180</v>
      </c>
      <c r="E6" s="1" t="s">
        <v>179</v>
      </c>
      <c r="F6" s="1" t="s">
        <v>180</v>
      </c>
      <c r="G6" s="1" t="s">
        <v>179</v>
      </c>
      <c r="H6" s="1" t="s">
        <v>180</v>
      </c>
      <c r="I6" s="1" t="s">
        <v>179</v>
      </c>
      <c r="J6" s="1" t="s">
        <v>180</v>
      </c>
    </row>
    <row r="7" spans="1:10" ht="35.4" customHeight="1" x14ac:dyDescent="0.4">
      <c r="A7" s="9" t="s">
        <v>181</v>
      </c>
      <c r="B7" s="1" t="s">
        <v>182</v>
      </c>
      <c r="C7" s="35" t="s">
        <v>183</v>
      </c>
      <c r="D7" s="35" t="s">
        <v>27</v>
      </c>
      <c r="E7" s="35" t="s">
        <v>37</v>
      </c>
      <c r="F7" s="35" t="s">
        <v>38</v>
      </c>
      <c r="G7" s="35" t="s">
        <v>57</v>
      </c>
      <c r="H7" s="35" t="s">
        <v>58</v>
      </c>
      <c r="I7" s="35" t="s">
        <v>77</v>
      </c>
      <c r="J7" s="35" t="s">
        <v>78</v>
      </c>
    </row>
    <row r="8" spans="1:10" ht="35.4" customHeight="1" x14ac:dyDescent="0.4">
      <c r="A8" s="9"/>
      <c r="B8" s="1" t="s">
        <v>184</v>
      </c>
      <c r="C8" s="35" t="s">
        <v>185</v>
      </c>
      <c r="D8" s="35" t="s">
        <v>28</v>
      </c>
      <c r="E8" s="35" t="s">
        <v>39</v>
      </c>
      <c r="F8" s="35" t="s">
        <v>40</v>
      </c>
      <c r="G8" s="35" t="s">
        <v>59</v>
      </c>
      <c r="H8" s="35" t="s">
        <v>60</v>
      </c>
      <c r="I8" s="35" t="s">
        <v>79</v>
      </c>
      <c r="J8" s="35" t="s">
        <v>80</v>
      </c>
    </row>
    <row r="9" spans="1:10" ht="35.4" customHeight="1" x14ac:dyDescent="0.4">
      <c r="A9" s="9"/>
      <c r="B9" s="1" t="s">
        <v>186</v>
      </c>
      <c r="C9" s="35" t="s">
        <v>187</v>
      </c>
      <c r="D9" s="35" t="s">
        <v>29</v>
      </c>
      <c r="E9" s="35" t="s">
        <v>41</v>
      </c>
      <c r="F9" s="35" t="s">
        <v>42</v>
      </c>
      <c r="G9" s="35" t="s">
        <v>61</v>
      </c>
      <c r="H9" s="35" t="s">
        <v>62</v>
      </c>
      <c r="I9" s="35" t="s">
        <v>81</v>
      </c>
      <c r="J9" s="35" t="s">
        <v>82</v>
      </c>
    </row>
    <row r="10" spans="1:10" ht="35.4" customHeight="1" x14ac:dyDescent="0.4">
      <c r="A10" s="9" t="s">
        <v>188</v>
      </c>
      <c r="B10" s="1" t="s">
        <v>189</v>
      </c>
      <c r="C10" s="35" t="s">
        <v>190</v>
      </c>
      <c r="D10" s="35" t="s">
        <v>30</v>
      </c>
      <c r="E10" s="35" t="s">
        <v>43</v>
      </c>
      <c r="F10" s="35" t="s">
        <v>44</v>
      </c>
      <c r="G10" s="35" t="s">
        <v>63</v>
      </c>
      <c r="H10" s="35" t="s">
        <v>64</v>
      </c>
      <c r="I10" s="35" t="s">
        <v>83</v>
      </c>
      <c r="J10" s="35" t="s">
        <v>84</v>
      </c>
    </row>
    <row r="11" spans="1:10" ht="35.4" customHeight="1" x14ac:dyDescent="0.4">
      <c r="A11" s="9"/>
      <c r="B11" s="1" t="s">
        <v>191</v>
      </c>
      <c r="C11" s="35" t="s">
        <v>192</v>
      </c>
      <c r="D11" s="35" t="s">
        <v>31</v>
      </c>
      <c r="E11" s="35" t="s">
        <v>45</v>
      </c>
      <c r="F11" s="35" t="s">
        <v>46</v>
      </c>
      <c r="G11" s="35" t="s">
        <v>65</v>
      </c>
      <c r="H11" s="35" t="s">
        <v>66</v>
      </c>
      <c r="I11" s="35" t="s">
        <v>85</v>
      </c>
      <c r="J11" s="35" t="s">
        <v>86</v>
      </c>
    </row>
    <row r="12" spans="1:10" ht="35.4" customHeight="1" x14ac:dyDescent="0.4">
      <c r="A12" s="9"/>
      <c r="B12" s="1" t="s">
        <v>193</v>
      </c>
      <c r="C12" s="35" t="s">
        <v>194</v>
      </c>
      <c r="D12" s="35" t="s">
        <v>32</v>
      </c>
      <c r="E12" s="35" t="s">
        <v>47</v>
      </c>
      <c r="F12" s="35" t="s">
        <v>48</v>
      </c>
      <c r="G12" s="35" t="s">
        <v>67</v>
      </c>
      <c r="H12" s="35" t="s">
        <v>68</v>
      </c>
      <c r="I12" s="35" t="s">
        <v>87</v>
      </c>
      <c r="J12" s="35" t="s">
        <v>88</v>
      </c>
    </row>
    <row r="13" spans="1:10" ht="35.4" customHeight="1" x14ac:dyDescent="0.4">
      <c r="A13" s="9" t="s">
        <v>195</v>
      </c>
      <c r="B13" s="1" t="s">
        <v>182</v>
      </c>
      <c r="C13" s="35" t="s">
        <v>196</v>
      </c>
      <c r="D13" s="35" t="s">
        <v>33</v>
      </c>
      <c r="E13" s="35" t="s">
        <v>49</v>
      </c>
      <c r="F13" s="35" t="s">
        <v>50</v>
      </c>
      <c r="G13" s="35" t="s">
        <v>69</v>
      </c>
      <c r="H13" s="35" t="s">
        <v>70</v>
      </c>
      <c r="I13" s="35" t="s">
        <v>89</v>
      </c>
      <c r="J13" s="35" t="s">
        <v>90</v>
      </c>
    </row>
    <row r="14" spans="1:10" ht="35.4" customHeight="1" x14ac:dyDescent="0.4">
      <c r="A14" s="9"/>
      <c r="B14" s="1" t="s">
        <v>184</v>
      </c>
      <c r="C14" s="35" t="s">
        <v>197</v>
      </c>
      <c r="D14" s="35" t="s">
        <v>34</v>
      </c>
      <c r="E14" s="35" t="s">
        <v>51</v>
      </c>
      <c r="F14" s="35" t="s">
        <v>52</v>
      </c>
      <c r="G14" s="35" t="s">
        <v>71</v>
      </c>
      <c r="H14" s="35" t="s">
        <v>72</v>
      </c>
      <c r="I14" s="35" t="s">
        <v>91</v>
      </c>
      <c r="J14" s="35" t="s">
        <v>92</v>
      </c>
    </row>
    <row r="15" spans="1:10" ht="35.4" customHeight="1" x14ac:dyDescent="0.4">
      <c r="A15" s="9"/>
      <c r="B15" s="1" t="s">
        <v>186</v>
      </c>
      <c r="C15" s="35" t="s">
        <v>198</v>
      </c>
      <c r="D15" s="35" t="s">
        <v>35</v>
      </c>
      <c r="E15" s="35" t="s">
        <v>53</v>
      </c>
      <c r="F15" s="35" t="s">
        <v>54</v>
      </c>
      <c r="G15" s="35" t="s">
        <v>73</v>
      </c>
      <c r="H15" s="35" t="s">
        <v>74</v>
      </c>
      <c r="I15" s="35" t="s">
        <v>93</v>
      </c>
      <c r="J15" s="35" t="s">
        <v>94</v>
      </c>
    </row>
    <row r="16" spans="1:10" ht="35.4" customHeight="1" x14ac:dyDescent="0.4">
      <c r="A16" s="1" t="s">
        <v>163</v>
      </c>
      <c r="B16" s="1" t="s">
        <v>199</v>
      </c>
      <c r="C16" s="35" t="s">
        <v>200</v>
      </c>
      <c r="D16" s="35" t="s">
        <v>36</v>
      </c>
      <c r="E16" s="35" t="s">
        <v>55</v>
      </c>
      <c r="F16" s="35" t="s">
        <v>56</v>
      </c>
      <c r="G16" s="35" t="s">
        <v>75</v>
      </c>
      <c r="H16" s="35" t="s">
        <v>76</v>
      </c>
      <c r="I16" s="35" t="s">
        <v>95</v>
      </c>
      <c r="J16" s="35" t="s">
        <v>96</v>
      </c>
    </row>
    <row r="17" spans="1:10" ht="35.4" customHeight="1" x14ac:dyDescent="0.4">
      <c r="A17" s="36" t="s">
        <v>201</v>
      </c>
      <c r="B17" s="37"/>
      <c r="C17" s="35"/>
      <c r="D17" s="35"/>
      <c r="E17" s="35" t="s">
        <v>202</v>
      </c>
      <c r="F17" s="35" t="s">
        <v>203</v>
      </c>
      <c r="G17" s="35" t="s">
        <v>204</v>
      </c>
      <c r="H17" s="35" t="s">
        <v>205</v>
      </c>
      <c r="I17" s="35" t="s">
        <v>206</v>
      </c>
      <c r="J17" s="35" t="s">
        <v>207</v>
      </c>
    </row>
    <row r="18" spans="1:10" ht="35.4" customHeight="1" x14ac:dyDescent="0.4"/>
    <row r="19" spans="1:10" ht="35.4" customHeight="1" x14ac:dyDescent="0.4">
      <c r="A19" s="30" t="s">
        <v>208</v>
      </c>
    </row>
    <row r="20" spans="1:10" ht="35.4" customHeight="1" x14ac:dyDescent="0.4">
      <c r="A20" s="9" t="s">
        <v>209</v>
      </c>
      <c r="B20" s="9"/>
      <c r="C20" s="9" t="s">
        <v>210</v>
      </c>
      <c r="D20" s="9"/>
      <c r="E20" s="9" t="s">
        <v>211</v>
      </c>
      <c r="F20" s="9"/>
      <c r="G20" s="9" t="s">
        <v>212</v>
      </c>
      <c r="H20" s="9"/>
    </row>
    <row r="21" spans="1:10" ht="35.4" customHeight="1" x14ac:dyDescent="0.4">
      <c r="A21" s="9" t="s">
        <v>213</v>
      </c>
      <c r="B21" s="9"/>
      <c r="C21" s="31" t="s">
        <v>224</v>
      </c>
      <c r="D21" s="32"/>
      <c r="E21" s="31" t="s">
        <v>214</v>
      </c>
      <c r="F21" s="32"/>
      <c r="G21" s="9">
        <f>+E24-C24</f>
        <v>0</v>
      </c>
      <c r="H21" s="9"/>
    </row>
    <row r="22" spans="1:10" ht="35.4" customHeight="1" x14ac:dyDescent="0.4">
      <c r="A22" s="9" t="s">
        <v>215</v>
      </c>
      <c r="B22" s="9"/>
      <c r="C22" s="33" t="s">
        <v>225</v>
      </c>
      <c r="D22" s="33"/>
      <c r="E22" s="34" t="s">
        <v>226</v>
      </c>
      <c r="F22" s="33"/>
      <c r="G22" s="9" t="e">
        <f>+E25-C25</f>
        <v>#VALUE!</v>
      </c>
      <c r="H22" s="9"/>
    </row>
    <row r="23" spans="1:10" ht="35.4" customHeight="1" x14ac:dyDescent="0.4"/>
    <row r="24" spans="1:10" ht="35.4" customHeight="1" x14ac:dyDescent="0.4">
      <c r="A24" t="s">
        <v>216</v>
      </c>
    </row>
    <row r="25" spans="1:10" ht="35.4" customHeight="1" x14ac:dyDescent="0.4">
      <c r="A25" s="13" t="s">
        <v>1</v>
      </c>
      <c r="B25" s="13"/>
      <c r="C25" s="13" t="s">
        <v>24</v>
      </c>
      <c r="D25" s="13"/>
      <c r="E25" s="13" t="s">
        <v>2</v>
      </c>
      <c r="F25" s="13"/>
      <c r="G25" s="13"/>
      <c r="H25" s="13" t="s">
        <v>3</v>
      </c>
      <c r="I25" s="13"/>
      <c r="J25" s="13"/>
    </row>
    <row r="26" spans="1:10" ht="35.4" customHeight="1" x14ac:dyDescent="0.4">
      <c r="A26" s="13"/>
      <c r="B26" s="13"/>
      <c r="C26" s="14" t="s">
        <v>4</v>
      </c>
      <c r="D26" s="14" t="s">
        <v>5</v>
      </c>
      <c r="E26" s="14" t="s">
        <v>6</v>
      </c>
      <c r="F26" s="14" t="s">
        <v>7</v>
      </c>
      <c r="G26" s="14" t="s">
        <v>8</v>
      </c>
      <c r="H26" s="14" t="s">
        <v>9</v>
      </c>
      <c r="I26" s="14" t="s">
        <v>10</v>
      </c>
      <c r="J26" s="14" t="s">
        <v>11</v>
      </c>
    </row>
    <row r="27" spans="1:10" ht="35.4" customHeight="1" x14ac:dyDescent="0.4">
      <c r="A27" s="13" t="s">
        <v>12</v>
      </c>
      <c r="B27" s="13"/>
      <c r="C27" s="15">
        <v>1469.79</v>
      </c>
      <c r="D27" s="15">
        <v>0</v>
      </c>
      <c r="E27" s="15">
        <v>7088.2</v>
      </c>
      <c r="F27" s="15">
        <v>3599.75</v>
      </c>
      <c r="G27" s="15">
        <v>9908.81</v>
      </c>
      <c r="H27" s="15">
        <v>10584</v>
      </c>
      <c r="I27" s="15">
        <v>1640</v>
      </c>
      <c r="J27" s="15">
        <v>34507</v>
      </c>
    </row>
    <row r="28" spans="1:10" ht="35.4" customHeight="1" x14ac:dyDescent="0.4">
      <c r="A28" s="13" t="s">
        <v>13</v>
      </c>
      <c r="B28" s="13"/>
      <c r="C28" s="15">
        <v>1464.06</v>
      </c>
      <c r="D28" s="15">
        <v>0</v>
      </c>
      <c r="E28" s="15">
        <v>7085.3</v>
      </c>
      <c r="F28" s="15">
        <v>3597.94</v>
      </c>
      <c r="G28" s="15">
        <v>9905.8700000000008</v>
      </c>
      <c r="H28" s="15">
        <v>10574</v>
      </c>
      <c r="I28" s="15">
        <v>1639</v>
      </c>
      <c r="J28" s="15">
        <v>34477</v>
      </c>
    </row>
    <row r="29" spans="1:10" ht="35.4" customHeight="1" x14ac:dyDescent="0.4">
      <c r="A29" s="13" t="s">
        <v>14</v>
      </c>
      <c r="B29" s="13"/>
      <c r="C29" s="15">
        <v>5.7300000000000182</v>
      </c>
      <c r="D29" s="15">
        <v>0</v>
      </c>
      <c r="E29" s="15">
        <v>2.8999999999996362</v>
      </c>
      <c r="F29" s="15">
        <v>1.8099999999999454</v>
      </c>
      <c r="G29" s="15">
        <v>2.9399999999986903</v>
      </c>
      <c r="H29" s="15">
        <v>10</v>
      </c>
      <c r="I29" s="15">
        <v>1</v>
      </c>
      <c r="J29" s="15">
        <v>30</v>
      </c>
    </row>
    <row r="30" spans="1:10" ht="35.4" customHeight="1" x14ac:dyDescent="0.4">
      <c r="A30" s="13" t="s">
        <v>15</v>
      </c>
      <c r="B30" s="13"/>
      <c r="C30" s="15">
        <v>13752.000000000044</v>
      </c>
      <c r="D30" s="15">
        <v>0</v>
      </c>
      <c r="E30" s="15">
        <v>231.9999999999709</v>
      </c>
      <c r="F30" s="15">
        <v>144.79999999999563</v>
      </c>
      <c r="G30" s="15">
        <v>235.19999999989523</v>
      </c>
      <c r="H30" s="15">
        <v>10</v>
      </c>
      <c r="I30" s="15">
        <v>1</v>
      </c>
      <c r="J30" s="15">
        <v>30</v>
      </c>
    </row>
    <row r="31" spans="1:10" ht="35.4" customHeight="1" x14ac:dyDescent="0.4">
      <c r="A31" s="13" t="s">
        <v>16</v>
      </c>
      <c r="B31" s="13"/>
      <c r="C31" s="15"/>
      <c r="D31" s="15">
        <v>0</v>
      </c>
      <c r="E31" s="15">
        <v>5927.9999999999563</v>
      </c>
      <c r="F31" s="15">
        <v>2864.0000000000146</v>
      </c>
      <c r="G31" s="15">
        <v>8354.4000000000233</v>
      </c>
      <c r="H31" s="15">
        <v>279</v>
      </c>
      <c r="I31" s="15">
        <v>2</v>
      </c>
      <c r="J31" s="15">
        <v>913</v>
      </c>
    </row>
    <row r="32" spans="1:10" ht="35.4" customHeight="1" thickBot="1" x14ac:dyDescent="0.45">
      <c r="A32" s="17" t="s">
        <v>17</v>
      </c>
      <c r="B32" s="17"/>
      <c r="C32" s="18" t="e">
        <v>#VALUE!</v>
      </c>
      <c r="D32" s="18"/>
      <c r="E32" s="18"/>
      <c r="F32" s="18"/>
      <c r="G32" s="1" t="s">
        <v>18</v>
      </c>
      <c r="H32" s="12" t="s">
        <v>217</v>
      </c>
      <c r="I32" s="12" t="s">
        <v>218</v>
      </c>
      <c r="J32" s="12" t="s">
        <v>219</v>
      </c>
    </row>
    <row r="33" spans="1:17" ht="35.4" customHeight="1" thickBot="1" x14ac:dyDescent="0.45">
      <c r="A33" s="27" t="s">
        <v>19</v>
      </c>
      <c r="B33" s="28"/>
      <c r="C33" s="19"/>
      <c r="D33" s="19"/>
      <c r="E33" s="19"/>
      <c r="F33" s="20"/>
      <c r="G33" s="16" t="s">
        <v>20</v>
      </c>
      <c r="H33" s="1">
        <v>15793.11</v>
      </c>
      <c r="I33" s="1">
        <v>62922.79</v>
      </c>
      <c r="J33" s="1">
        <v>9918.52</v>
      </c>
    </row>
    <row r="34" spans="1:17" ht="35.4" customHeight="1" x14ac:dyDescent="0.4">
      <c r="A34" s="21"/>
      <c r="B34" s="22"/>
      <c r="C34" s="22"/>
      <c r="D34" s="22"/>
      <c r="E34" s="22"/>
      <c r="F34" s="23"/>
      <c r="G34" s="16" t="s">
        <v>21</v>
      </c>
      <c r="H34" s="1">
        <v>15786.43</v>
      </c>
      <c r="I34" s="1">
        <v>62922.14</v>
      </c>
      <c r="J34" s="1">
        <v>9909.17</v>
      </c>
    </row>
    <row r="35" spans="1:17" ht="35.4" customHeight="1" thickBot="1" x14ac:dyDescent="0.45">
      <c r="A35" s="24"/>
      <c r="B35" s="25"/>
      <c r="C35" s="25"/>
      <c r="D35" s="25"/>
      <c r="E35" s="25"/>
      <c r="F35" s="26"/>
      <c r="G35" s="16" t="s">
        <v>22</v>
      </c>
      <c r="H35" s="1">
        <v>6.680000000000291</v>
      </c>
      <c r="I35" s="1">
        <v>0.65000000000145519</v>
      </c>
      <c r="J35" s="1">
        <v>9.3500000000003638</v>
      </c>
    </row>
    <row r="38" spans="1:17" x14ac:dyDescent="0.4">
      <c r="Q38" t="s">
        <v>23</v>
      </c>
    </row>
    <row r="52" spans="2:10" x14ac:dyDescent="0.4">
      <c r="C52" s="8" t="s">
        <v>24</v>
      </c>
      <c r="D52" s="8"/>
      <c r="E52" s="8" t="s">
        <v>2</v>
      </c>
      <c r="F52" s="8"/>
      <c r="G52" s="8"/>
      <c r="H52" s="8" t="s">
        <v>3</v>
      </c>
      <c r="I52" s="8"/>
      <c r="J52" s="8"/>
    </row>
    <row r="53" spans="2:10" ht="34.799999999999997" x14ac:dyDescent="0.4">
      <c r="C53" s="7" t="s">
        <v>220</v>
      </c>
      <c r="D53" s="7" t="s">
        <v>5</v>
      </c>
      <c r="E53" s="7" t="s">
        <v>6</v>
      </c>
      <c r="F53" s="7" t="s">
        <v>7</v>
      </c>
      <c r="G53" s="7" t="s">
        <v>8</v>
      </c>
      <c r="H53" s="7" t="s">
        <v>9</v>
      </c>
      <c r="I53" s="7" t="s">
        <v>10</v>
      </c>
      <c r="J53" s="7" t="s">
        <v>11</v>
      </c>
    </row>
    <row r="54" spans="2:10" x14ac:dyDescent="0.4">
      <c r="B54" t="s">
        <v>20</v>
      </c>
      <c r="C54" t="e">
        <v>#REF!</v>
      </c>
      <c r="D54">
        <v>0</v>
      </c>
      <c r="E54">
        <v>7088.2</v>
      </c>
      <c r="F54">
        <v>3599.75</v>
      </c>
      <c r="G54">
        <v>9908.81</v>
      </c>
      <c r="H54">
        <v>10584</v>
      </c>
      <c r="I54">
        <v>1640</v>
      </c>
      <c r="J54">
        <v>34507</v>
      </c>
    </row>
    <row r="55" spans="2:10" x14ac:dyDescent="0.4">
      <c r="B55" t="s">
        <v>25</v>
      </c>
      <c r="C55">
        <v>1309.8499999999999</v>
      </c>
      <c r="D55">
        <v>0</v>
      </c>
      <c r="E55">
        <v>7014.1</v>
      </c>
      <c r="F55">
        <v>3563.95</v>
      </c>
      <c r="G55">
        <v>9804.3799999999992</v>
      </c>
      <c r="H55">
        <v>10305</v>
      </c>
      <c r="I55">
        <v>1638</v>
      </c>
      <c r="J55">
        <v>33594</v>
      </c>
    </row>
    <row r="56" spans="2:10" x14ac:dyDescent="0.4">
      <c r="B56" t="s">
        <v>16</v>
      </c>
      <c r="C56" t="e">
        <v>#REF!</v>
      </c>
      <c r="D56">
        <v>0</v>
      </c>
      <c r="E56">
        <v>5927.9999999999563</v>
      </c>
      <c r="F56">
        <v>2864.0000000000146</v>
      </c>
      <c r="G56">
        <v>8354.4000000000233</v>
      </c>
      <c r="H56">
        <v>279</v>
      </c>
      <c r="I56">
        <v>2</v>
      </c>
      <c r="J56">
        <v>913</v>
      </c>
    </row>
    <row r="57" spans="2:10" x14ac:dyDescent="0.4">
      <c r="B57" t="s">
        <v>26</v>
      </c>
      <c r="C57">
        <v>100</v>
      </c>
    </row>
  </sheetData>
  <mergeCells count="36">
    <mergeCell ref="A2:G2"/>
    <mergeCell ref="A5:B6"/>
    <mergeCell ref="C22:D22"/>
    <mergeCell ref="E22:F22"/>
    <mergeCell ref="G21:H21"/>
    <mergeCell ref="G22:H22"/>
    <mergeCell ref="C20:D20"/>
    <mergeCell ref="E20:F20"/>
    <mergeCell ref="G20:H20"/>
    <mergeCell ref="A20:B20"/>
    <mergeCell ref="A21:B21"/>
    <mergeCell ref="A22:B22"/>
    <mergeCell ref="A17:B17"/>
    <mergeCell ref="A7:A9"/>
    <mergeCell ref="A10:A12"/>
    <mergeCell ref="A13:A15"/>
    <mergeCell ref="C25:D25"/>
    <mergeCell ref="E25:G25"/>
    <mergeCell ref="C52:D52"/>
    <mergeCell ref="E52:G52"/>
    <mergeCell ref="H52:J52"/>
    <mergeCell ref="A25:B26"/>
    <mergeCell ref="A27:B27"/>
    <mergeCell ref="A28:B28"/>
    <mergeCell ref="A29:B29"/>
    <mergeCell ref="A30:B30"/>
    <mergeCell ref="A31:B31"/>
    <mergeCell ref="A32:B32"/>
    <mergeCell ref="A33:B33"/>
    <mergeCell ref="H25:J25"/>
    <mergeCell ref="I5:J5"/>
    <mergeCell ref="C21:D21"/>
    <mergeCell ref="E21:F21"/>
    <mergeCell ref="C5:D5"/>
    <mergeCell ref="E5:F5"/>
    <mergeCell ref="G5:H5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C21F-FDDD-4581-BFBF-2D14B5C8D0A7}">
  <dimension ref="A1:AB58"/>
  <sheetViews>
    <sheetView tabSelected="1" topLeftCell="A16" workbookViewId="0">
      <selection activeCell="F4" sqref="F4:Q4"/>
    </sheetView>
  </sheetViews>
  <sheetFormatPr defaultRowHeight="17.399999999999999" x14ac:dyDescent="0.4"/>
  <sheetData>
    <row r="1" spans="1:28" x14ac:dyDescent="0.4">
      <c r="A1" t="s">
        <v>144</v>
      </c>
    </row>
    <row r="3" spans="1:28" x14ac:dyDescent="0.4">
      <c r="A3" t="s">
        <v>145</v>
      </c>
    </row>
    <row r="4" spans="1:28" x14ac:dyDescent="0.4">
      <c r="A4" s="10" t="s">
        <v>146</v>
      </c>
      <c r="B4" s="38" t="s">
        <v>0</v>
      </c>
      <c r="C4" s="38" t="s">
        <v>147</v>
      </c>
      <c r="D4" s="11" t="s">
        <v>148</v>
      </c>
      <c r="E4" s="11"/>
      <c r="F4" s="10" t="s">
        <v>149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 t="s">
        <v>150</v>
      </c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x14ac:dyDescent="0.4">
      <c r="A5" s="10"/>
      <c r="B5" s="39"/>
      <c r="C5" s="39"/>
      <c r="D5" s="6" t="s">
        <v>151</v>
      </c>
      <c r="E5" s="6" t="s">
        <v>152</v>
      </c>
      <c r="F5" s="6" t="s">
        <v>153</v>
      </c>
      <c r="G5" s="6" t="s">
        <v>154</v>
      </c>
      <c r="H5" s="6" t="s">
        <v>155</v>
      </c>
      <c r="I5" s="6" t="s">
        <v>156</v>
      </c>
      <c r="J5" s="6" t="s">
        <v>157</v>
      </c>
      <c r="K5" s="6" t="s">
        <v>158</v>
      </c>
      <c r="L5" s="6" t="s">
        <v>159</v>
      </c>
      <c r="M5" s="6" t="s">
        <v>160</v>
      </c>
      <c r="N5" s="6" t="s">
        <v>161</v>
      </c>
      <c r="O5" s="6" t="s">
        <v>162</v>
      </c>
      <c r="P5" s="6" t="s">
        <v>163</v>
      </c>
      <c r="Q5" s="6" t="s">
        <v>164</v>
      </c>
      <c r="R5" s="6" t="s">
        <v>153</v>
      </c>
      <c r="S5" s="6" t="s">
        <v>154</v>
      </c>
      <c r="T5" s="6" t="s">
        <v>155</v>
      </c>
      <c r="U5" s="6" t="s">
        <v>156</v>
      </c>
      <c r="V5" s="6" t="s">
        <v>157</v>
      </c>
      <c r="W5" s="6" t="s">
        <v>158</v>
      </c>
      <c r="X5" s="6" t="s">
        <v>159</v>
      </c>
      <c r="Y5" s="6" t="s">
        <v>160</v>
      </c>
      <c r="Z5" s="6" t="s">
        <v>161</v>
      </c>
      <c r="AA5" s="6" t="s">
        <v>163</v>
      </c>
      <c r="AB5" s="6" t="s">
        <v>165</v>
      </c>
    </row>
    <row r="6" spans="1:28" x14ac:dyDescent="0.4">
      <c r="A6" s="1">
        <v>0</v>
      </c>
      <c r="B6" s="5" t="s">
        <v>166</v>
      </c>
      <c r="C6" s="5" t="s">
        <v>167</v>
      </c>
      <c r="D6" s="5" t="s">
        <v>97</v>
      </c>
      <c r="E6" s="5" t="s">
        <v>98</v>
      </c>
      <c r="F6" s="5" t="s">
        <v>99</v>
      </c>
      <c r="G6" s="5" t="s">
        <v>100</v>
      </c>
      <c r="H6" s="5" t="s">
        <v>101</v>
      </c>
      <c r="I6" s="5" t="s">
        <v>102</v>
      </c>
      <c r="J6" s="5" t="s">
        <v>103</v>
      </c>
      <c r="K6" s="5" t="s">
        <v>104</v>
      </c>
      <c r="L6" s="5" t="s">
        <v>105</v>
      </c>
      <c r="M6" s="5" t="s">
        <v>106</v>
      </c>
      <c r="N6" s="5" t="s">
        <v>107</v>
      </c>
      <c r="O6" s="5" t="s">
        <v>108</v>
      </c>
      <c r="P6" s="5" t="s">
        <v>109</v>
      </c>
      <c r="Q6" s="5" t="s">
        <v>110</v>
      </c>
      <c r="R6" s="5" t="s">
        <v>111</v>
      </c>
      <c r="S6" s="5" t="s">
        <v>112</v>
      </c>
      <c r="T6" s="5" t="s">
        <v>113</v>
      </c>
      <c r="U6" s="5" t="s">
        <v>114</v>
      </c>
      <c r="V6" s="5" t="s">
        <v>115</v>
      </c>
      <c r="W6" s="5" t="s">
        <v>116</v>
      </c>
      <c r="X6" s="5" t="s">
        <v>117</v>
      </c>
      <c r="Y6" s="5" t="s">
        <v>118</v>
      </c>
      <c r="Z6" s="5" t="s">
        <v>119</v>
      </c>
      <c r="AA6" s="5" t="s">
        <v>120</v>
      </c>
      <c r="AB6" s="5" t="s">
        <v>121</v>
      </c>
    </row>
    <row r="7" spans="1:28" x14ac:dyDescent="0.4">
      <c r="A7" s="1">
        <v>1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 spans="1:28" x14ac:dyDescent="0.4">
      <c r="A8" s="1">
        <v>2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 spans="1:28" x14ac:dyDescent="0.4">
      <c r="A9" s="1">
        <v>3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 spans="1:28" x14ac:dyDescent="0.4">
      <c r="A10" s="1">
        <v>4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 spans="1:28" x14ac:dyDescent="0.4">
      <c r="A11" s="1">
        <v>5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 spans="1:28" x14ac:dyDescent="0.4">
      <c r="A12" s="1">
        <v>6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 spans="1:28" x14ac:dyDescent="0.4">
      <c r="A13" s="1">
        <v>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 spans="1:28" x14ac:dyDescent="0.4">
      <c r="A14" s="1">
        <v>8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 spans="1:28" x14ac:dyDescent="0.4">
      <c r="A15" s="1">
        <v>9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 spans="1:28" x14ac:dyDescent="0.4">
      <c r="A16" s="1">
        <v>10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 spans="1:28" x14ac:dyDescent="0.4">
      <c r="A17" s="1">
        <v>11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 spans="1:28" x14ac:dyDescent="0.4">
      <c r="A18" s="1">
        <v>12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 spans="1:28" x14ac:dyDescent="0.4">
      <c r="A19" s="1">
        <v>13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 spans="1:28" x14ac:dyDescent="0.4">
      <c r="A20" s="1">
        <v>14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 spans="1:28" x14ac:dyDescent="0.4">
      <c r="A21" s="1">
        <v>15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 spans="1:28" x14ac:dyDescent="0.4">
      <c r="A22" s="1">
        <v>16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 spans="1:28" x14ac:dyDescent="0.4">
      <c r="A23" s="1">
        <v>17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 spans="1:28" x14ac:dyDescent="0.4">
      <c r="A24" s="1">
        <v>18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 spans="1:28" x14ac:dyDescent="0.4">
      <c r="A25" s="1">
        <v>19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spans="1:28" x14ac:dyDescent="0.4">
      <c r="A26" s="1">
        <v>20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spans="1:28" x14ac:dyDescent="0.4">
      <c r="A27" s="1">
        <v>21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spans="1:28" x14ac:dyDescent="0.4">
      <c r="A28" s="1">
        <v>22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spans="1:28" x14ac:dyDescent="0.4">
      <c r="A29" s="1">
        <v>23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2" spans="1:28" x14ac:dyDescent="0.4">
      <c r="A32" s="9" t="s">
        <v>146</v>
      </c>
      <c r="B32" s="9" t="s">
        <v>168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 t="s">
        <v>169</v>
      </c>
      <c r="N32" s="9"/>
      <c r="O32" s="9"/>
      <c r="P32" s="9"/>
      <c r="Q32" s="9"/>
      <c r="R32" s="9"/>
      <c r="S32" s="9"/>
      <c r="T32" s="9"/>
      <c r="U32" s="9"/>
      <c r="V32" s="9"/>
      <c r="W32" s="9"/>
    </row>
    <row r="33" spans="1:23" x14ac:dyDescent="0.4">
      <c r="A33" s="9"/>
      <c r="B33" s="3" t="s">
        <v>153</v>
      </c>
      <c r="C33" s="3" t="s">
        <v>154</v>
      </c>
      <c r="D33" s="3" t="s">
        <v>155</v>
      </c>
      <c r="E33" s="3" t="s">
        <v>156</v>
      </c>
      <c r="F33" s="3" t="s">
        <v>157</v>
      </c>
      <c r="G33" s="3" t="s">
        <v>158</v>
      </c>
      <c r="H33" s="3" t="s">
        <v>159</v>
      </c>
      <c r="I33" s="3" t="s">
        <v>160</v>
      </c>
      <c r="J33" s="3" t="s">
        <v>161</v>
      </c>
      <c r="K33" s="3" t="s">
        <v>163</v>
      </c>
      <c r="L33" s="3" t="s">
        <v>165</v>
      </c>
      <c r="M33" s="3" t="s">
        <v>153</v>
      </c>
      <c r="N33" s="3" t="s">
        <v>154</v>
      </c>
      <c r="O33" s="3" t="s">
        <v>155</v>
      </c>
      <c r="P33" s="3" t="s">
        <v>156</v>
      </c>
      <c r="Q33" s="3" t="s">
        <v>157</v>
      </c>
      <c r="R33" s="3" t="s">
        <v>158</v>
      </c>
      <c r="S33" s="3" t="s">
        <v>159</v>
      </c>
      <c r="T33" s="3" t="s">
        <v>160</v>
      </c>
      <c r="U33" s="3" t="s">
        <v>161</v>
      </c>
      <c r="V33" s="3" t="s">
        <v>163</v>
      </c>
      <c r="W33" s="3" t="s">
        <v>165</v>
      </c>
    </row>
    <row r="34" spans="1:23" x14ac:dyDescent="0.4">
      <c r="A34" s="1">
        <v>0</v>
      </c>
      <c r="B34" s="4" t="s">
        <v>122</v>
      </c>
      <c r="C34" s="4" t="s">
        <v>123</v>
      </c>
      <c r="D34" s="4" t="s">
        <v>124</v>
      </c>
      <c r="E34" s="4" t="s">
        <v>125</v>
      </c>
      <c r="F34" s="4" t="s">
        <v>126</v>
      </c>
      <c r="G34" s="4" t="s">
        <v>127</v>
      </c>
      <c r="H34" s="4" t="s">
        <v>128</v>
      </c>
      <c r="I34" s="4" t="s">
        <v>129</v>
      </c>
      <c r="J34" s="4" t="s">
        <v>130</v>
      </c>
      <c r="K34" s="4" t="s">
        <v>131</v>
      </c>
      <c r="L34" s="4" t="s">
        <v>132</v>
      </c>
      <c r="M34" s="4" t="s">
        <v>133</v>
      </c>
      <c r="N34" s="4" t="s">
        <v>134</v>
      </c>
      <c r="O34" s="4" t="s">
        <v>135</v>
      </c>
      <c r="P34" s="4" t="s">
        <v>136</v>
      </c>
      <c r="Q34" s="4" t="s">
        <v>137</v>
      </c>
      <c r="R34" s="4" t="s">
        <v>138</v>
      </c>
      <c r="S34" s="4" t="s">
        <v>139</v>
      </c>
      <c r="T34" s="4" t="s">
        <v>140</v>
      </c>
      <c r="U34" s="4" t="s">
        <v>141</v>
      </c>
      <c r="V34" s="4" t="s">
        <v>142</v>
      </c>
      <c r="W34" s="4" t="s">
        <v>143</v>
      </c>
    </row>
    <row r="35" spans="1:23" x14ac:dyDescent="0.4">
      <c r="A35" s="1">
        <v>1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:23" x14ac:dyDescent="0.4">
      <c r="A36" s="1">
        <v>2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:23" x14ac:dyDescent="0.4">
      <c r="A37" s="1">
        <v>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 spans="1:23" x14ac:dyDescent="0.4">
      <c r="A38" s="1">
        <v>4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 spans="1:23" x14ac:dyDescent="0.4">
      <c r="A39" s="1">
        <v>5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 spans="1:23" x14ac:dyDescent="0.4">
      <c r="A40" s="1">
        <v>6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4">
      <c r="A41" s="1">
        <v>7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4">
      <c r="A42" s="1">
        <v>8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4">
      <c r="A43" s="1">
        <v>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 spans="1:23" x14ac:dyDescent="0.4">
      <c r="A44" s="1">
        <v>10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 spans="1:23" x14ac:dyDescent="0.4">
      <c r="A45" s="1">
        <v>11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4">
      <c r="A46" s="1">
        <v>12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4">
      <c r="A47" s="1">
        <v>13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4">
      <c r="A48" s="1">
        <v>14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1:23" x14ac:dyDescent="0.4">
      <c r="A49" s="1">
        <v>15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 spans="1:23" x14ac:dyDescent="0.4">
      <c r="A50" s="1">
        <v>16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1:23" x14ac:dyDescent="0.4">
      <c r="A51" s="1">
        <v>17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1:23" x14ac:dyDescent="0.4">
      <c r="A52" s="1">
        <v>18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1:23" x14ac:dyDescent="0.4">
      <c r="A53" s="1">
        <v>19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1:23" x14ac:dyDescent="0.4">
      <c r="A54" s="1">
        <v>20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1:23" x14ac:dyDescent="0.4">
      <c r="A55" s="1">
        <v>21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1:23" x14ac:dyDescent="0.4">
      <c r="A56" s="1">
        <v>22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1:23" x14ac:dyDescent="0.4">
      <c r="A57" s="1">
        <v>22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1:23" x14ac:dyDescent="0.4">
      <c r="A58" s="1">
        <v>23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</row>
  </sheetData>
  <mergeCells count="9">
    <mergeCell ref="M32:W32"/>
    <mergeCell ref="B32:L32"/>
    <mergeCell ref="F4:Q4"/>
    <mergeCell ref="R4:AB4"/>
    <mergeCell ref="A32:A33"/>
    <mergeCell ref="A4:A5"/>
    <mergeCell ref="D4:E4"/>
    <mergeCell ref="B4:B5"/>
    <mergeCell ref="C4:C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전력설비_운전현황</vt:lpstr>
      <vt:lpstr>상세내역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래미안개포루체하임 일원동</dc:creator>
  <cp:lastModifiedBy>훈택 임</cp:lastModifiedBy>
  <cp:lastPrinted>2026-05-21T04:05:03Z</cp:lastPrinted>
  <dcterms:created xsi:type="dcterms:W3CDTF">2026-05-21T01:18:20Z</dcterms:created>
  <dcterms:modified xsi:type="dcterms:W3CDTF">2026-05-21T22:01:14Z</dcterms:modified>
</cp:coreProperties>
</file>