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game\pygame\elec_room_project\"/>
    </mc:Choice>
  </mc:AlternateContent>
  <xr:revisionPtr revIDLastSave="0" documentId="13_ncr:1_{9666EA96-C36C-40C3-BCB4-7C10FE85BC94}" xr6:coauthVersionLast="47" xr6:coauthVersionMax="47" xr10:uidLastSave="{00000000-0000-0000-0000-000000000000}"/>
  <bookViews>
    <workbookView xWindow="2940" yWindow="1665" windowWidth="21600" windowHeight="13590" activeTab="1" xr2:uid="{943AB7D1-EB27-49C3-9C36-555299583416}"/>
  </bookViews>
  <sheets>
    <sheet name="전력설비_운영현황" sheetId="2" r:id="rId1"/>
    <sheet name="상세내역" sheetId="1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9" i="2" l="1"/>
  <c r="C30" i="2" s="1"/>
  <c r="Q43" i="2"/>
  <c r="Q47" i="2" s="1"/>
  <c r="J31" i="2" s="1"/>
  <c r="O43" i="2"/>
  <c r="O47" i="2" s="1"/>
  <c r="I31" i="2" s="1"/>
  <c r="M43" i="2"/>
  <c r="M47" i="2" s="1"/>
  <c r="H31" i="2" s="1"/>
  <c r="K43" i="2"/>
  <c r="K47" i="2" s="1"/>
  <c r="G31" i="2" s="1"/>
  <c r="I43" i="2"/>
  <c r="I47" i="2" s="1"/>
  <c r="F31" i="2" s="1"/>
  <c r="G43" i="2"/>
  <c r="G47" i="2" s="1"/>
  <c r="E31" i="2" s="1"/>
  <c r="E43" i="2"/>
  <c r="E47" i="2" s="1"/>
  <c r="D31" i="2" s="1"/>
  <c r="C43" i="2"/>
  <c r="C47" i="2" s="1"/>
  <c r="J35" i="2"/>
  <c r="I35" i="2"/>
  <c r="H35" i="2"/>
  <c r="J29" i="2"/>
  <c r="J30" i="2" s="1"/>
  <c r="I29" i="2"/>
  <c r="I30" i="2" s="1"/>
  <c r="H29" i="2"/>
  <c r="H30" i="2" s="1"/>
  <c r="G29" i="2"/>
  <c r="G30" i="2" s="1"/>
  <c r="F29" i="2"/>
  <c r="F30" i="2" s="1"/>
  <c r="E29" i="2"/>
  <c r="E30" i="2" s="1"/>
  <c r="D29" i="2"/>
  <c r="D30" i="2" s="1"/>
  <c r="C32" i="2" l="1"/>
</calcChain>
</file>

<file path=xl/sharedStrings.xml><?xml version="1.0" encoding="utf-8"?>
<sst xmlns="http://schemas.openxmlformats.org/spreadsheetml/2006/main" count="282" uniqueCount="227">
  <si>
    <t>최저값</t>
    <phoneticPr fontId="1" type="noConversion"/>
  </si>
  <si>
    <t>R-S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</si>
  <si>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</si>
  <si>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</si>
  <si>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</si>
  <si>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상전압</t>
    <phoneticPr fontId="1" type="noConversion"/>
  </si>
  <si>
    <t>선간전압</t>
    <phoneticPr fontId="1" type="noConversion"/>
  </si>
  <si>
    <t>S-T</t>
    <phoneticPr fontId="1" type="noConversion"/>
  </si>
  <si>
    <t>T-R</t>
    <phoneticPr fontId="1" type="noConversion"/>
  </si>
  <si>
    <t>주파수</t>
    <phoneticPr fontId="1" type="noConversion"/>
  </si>
  <si>
    <t>전력</t>
    <phoneticPr fontId="1" type="noConversion"/>
  </si>
  <si>
    <t>(kW)</t>
    <phoneticPr fontId="1" type="noConversion"/>
  </si>
  <si>
    <t>상전류</t>
    <phoneticPr fontId="1" type="noConversion"/>
  </si>
  <si>
    <t>실내온도</t>
  </si>
  <si>
    <t>외기온도</t>
    <phoneticPr fontId="1" type="noConversion"/>
  </si>
  <si>
    <t xml:space="preserve"> 구    분</t>
  </si>
  <si>
    <t>한 전 메 인 / 2400배</t>
    <phoneticPr fontId="4" type="noConversion"/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</si>
  <si>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</si>
  <si>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</si>
  <si>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</si>
  <si>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</si>
  <si>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</si>
  <si>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</si>
  <si>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</si>
  <si>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</si>
  <si>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</si>
  <si>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</si>
  <si>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</si>
  <si>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</si>
  <si>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</si>
  <si>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</si>
  <si>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</si>
  <si>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</si>
  <si>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</si>
  <si>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r>
      <t xml:space="preserve">지열 1
</t>
    </r>
    <r>
      <rPr>
        <sz val="11"/>
        <color rgb="FF000000"/>
        <rFont val="맑은 고딕"/>
        <family val="3"/>
        <charset val="129"/>
      </rPr>
      <t>(3동B1좌측)</t>
    </r>
  </si>
  <si>
    <r>
      <t xml:space="preserve">지열 2
</t>
    </r>
    <r>
      <rPr>
        <sz val="11"/>
        <color rgb="FF000000"/>
        <rFont val="맑은 고딕"/>
        <family val="3"/>
        <charset val="129"/>
      </rPr>
      <t>(1동B2펌프실)</t>
    </r>
  </si>
  <si>
    <r>
      <t xml:space="preserve">지열 3
</t>
    </r>
    <r>
      <rPr>
        <sz val="11"/>
        <color rgb="FF000000"/>
        <rFont val="맑은 고딕"/>
        <family val="3"/>
        <charset val="129"/>
      </rPr>
      <t>(2단지통로끝)</t>
    </r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</si>
  <si>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</si>
  <si>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</si>
  <si>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</si>
  <si>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</si>
  <si>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</si>
  <si>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</si>
  <si>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전월지침</t>
  </si>
  <si>
    <t>월평균
역률(%)</t>
  </si>
  <si>
    <t>최고값</t>
    <phoneticPr fontId="1" type="noConversion"/>
  </si>
  <si>
    <t>한전 (kV, A)</t>
    <phoneticPr fontId="1" type="noConversion"/>
  </si>
  <si>
    <t>변압기1 (V, A)</t>
    <phoneticPr fontId="1" type="noConversion"/>
  </si>
  <si>
    <t>변압기2 (V, A)</t>
    <phoneticPr fontId="1" type="noConversion"/>
  </si>
  <si>
    <t>변압기3 (V, A)</t>
    <phoneticPr fontId="1" type="noConversion"/>
  </si>
  <si>
    <t>max("KEP_A_R")</t>
    <phoneticPr fontId="1" type="noConversion"/>
  </si>
  <si>
    <t>max("KEP_A_S")</t>
    <phoneticPr fontId="1" type="noConversion"/>
  </si>
  <si>
    <t>max("KEP_A_T")</t>
    <phoneticPr fontId="1" type="noConversion"/>
  </si>
  <si>
    <t>max( "KEP_V_R")</t>
    <phoneticPr fontId="1" type="noConversion"/>
  </si>
  <si>
    <t>max( "KEP_V_R_S")</t>
    <phoneticPr fontId="1" type="noConversion"/>
  </si>
  <si>
    <t>max( "KEP_V_S")</t>
    <phoneticPr fontId="1" type="noConversion"/>
  </si>
  <si>
    <t>max( "KEP_V_T")</t>
    <phoneticPr fontId="1" type="noConversion"/>
  </si>
  <si>
    <t>max( "KEP_V_S_T")</t>
    <phoneticPr fontId="1" type="noConversion"/>
  </si>
  <si>
    <t>max( "KEP_V_T_R")</t>
    <phoneticPr fontId="1" type="noConversion"/>
  </si>
  <si>
    <t>max("KEP_P_kW")</t>
    <phoneticPr fontId="1" type="noConversion"/>
  </si>
  <si>
    <t>max("KEP_P_kWh")</t>
    <phoneticPr fontId="1" type="noConversion"/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</si>
  <si>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</si>
  <si>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</si>
  <si>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</si>
  <si>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</si>
  <si>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</si>
  <si>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</si>
  <si>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</si>
  <si>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</si>
  <si>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</si>
  <si>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</si>
  <si>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</si>
  <si>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</si>
  <si>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</si>
  <si>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</si>
  <si>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</si>
  <si>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</si>
  <si>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</si>
  <si>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</si>
  <si>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</si>
  <si>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</si>
  <si>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</si>
  <si>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</si>
  <si>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</si>
  <si>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</si>
  <si>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</si>
  <si>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</si>
  <si>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</si>
  <si>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</si>
  <si>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</si>
  <si>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</si>
  <si>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</si>
  <si>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</si>
  <si>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</si>
  <si>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</si>
  <si>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</si>
  <si>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</si>
  <si>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</si>
  <si>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</si>
  <si>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</si>
  <si>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</si>
  <si>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</si>
  <si>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</si>
  <si>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</si>
  <si>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</si>
  <si>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</si>
  <si>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</si>
  <si>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</si>
  <si>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</si>
  <si>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</si>
  <si>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</si>
  <si>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</si>
  <si>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</si>
  <si>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</si>
  <si>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</si>
  <si>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</si>
  <si>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</si>
  <si>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</si>
  <si>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</si>
  <si>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</si>
  <si>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</si>
  <si>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</si>
  <si>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</si>
  <si>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</si>
  <si>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</si>
  <si>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</si>
  <si>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</si>
  <si>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</si>
  <si>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</si>
  <si>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</si>
  <si>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</si>
  <si>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>변압기 온도</t>
    <phoneticPr fontId="1" type="noConversion"/>
  </si>
  <si>
    <t>max("Tr1_Temp")</t>
    <phoneticPr fontId="1" type="noConversion"/>
  </si>
  <si>
    <t>min("Tr1_Temp")</t>
    <phoneticPr fontId="1" type="noConversion"/>
  </si>
  <si>
    <t>max("Tr2_Temp")</t>
    <phoneticPr fontId="1" type="noConversion"/>
  </si>
  <si>
    <t>min("Tr2_Temp")</t>
    <phoneticPr fontId="1" type="noConversion"/>
  </si>
  <si>
    <t>max("Tr3_Temp")</t>
    <phoneticPr fontId="1" type="noConversion"/>
  </si>
  <si>
    <t>min("Tr3_Temp")</t>
    <phoneticPr fontId="1" type="noConversion"/>
  </si>
  <si>
    <t>구분</t>
    <phoneticPr fontId="1" type="noConversion"/>
  </si>
  <si>
    <t>1. 전력설비 운영 현황 분석자료</t>
    <phoneticPr fontId="1" type="noConversion"/>
  </si>
  <si>
    <t>2. 사용 전력량 현황</t>
    <phoneticPr fontId="1" type="noConversion"/>
  </si>
  <si>
    <t>3. 전력량계 적산현황</t>
    <phoneticPr fontId="1" type="noConversion"/>
  </si>
  <si>
    <t>min("KEP_P_kWh")</t>
    <phoneticPr fontId="1" type="noConversion"/>
  </si>
  <si>
    <t>시작 전력량</t>
    <phoneticPr fontId="1" type="noConversion"/>
  </si>
  <si>
    <t>마지막 전력량</t>
    <phoneticPr fontId="1" type="noConversion"/>
  </si>
  <si>
    <t>일일사용 전력량</t>
    <phoneticPr fontId="1" type="noConversion"/>
  </si>
  <si>
    <t>월간전력량</t>
    <phoneticPr fontId="1" type="noConversion"/>
  </si>
  <si>
    <t>월시작 전력량</t>
    <phoneticPr fontId="1" type="noConversion"/>
  </si>
  <si>
    <t>+E24-C24</t>
    <phoneticPr fontId="1" type="noConversion"/>
  </si>
  <si>
    <t>보고서 작성날 최종 전력량</t>
    <phoneticPr fontId="1" type="noConversion"/>
  </si>
  <si>
    <t>+E25-C25</t>
    <phoneticPr fontId="1" type="noConversion"/>
  </si>
  <si>
    <t>일간 전력량</t>
    <phoneticPr fontId="1" type="noConversion"/>
  </si>
  <si>
    <t>전력량 (kWh)</t>
    <phoneticPr fontId="1" type="noConversion"/>
  </si>
  <si>
    <t>래미안개포루체하임아파트 전기설비 운영일지</t>
    <phoneticPr fontId="1" type="noConversion"/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</si>
  <si>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</si>
  <si>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</si>
  <si>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</si>
  <si>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</si>
  <si>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</si>
  <si>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</si>
  <si>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</si>
  <si>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</si>
  <si>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</si>
  <si>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</si>
  <si>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</si>
  <si>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</si>
  <si>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</si>
  <si>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</si>
  <si>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</si>
  <si>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</si>
  <si>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</si>
  <si>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</si>
  <si>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</si>
  <si>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</si>
  <si>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</si>
  <si>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</si>
  <si>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</si>
  <si>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</si>
  <si>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</si>
  <si>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</si>
  <si>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</si>
  <si>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</si>
  <si>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</si>
  <si>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</si>
  <si>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</si>
  <si>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</si>
  <si>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</si>
  <si>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</si>
  <si>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</si>
  <si>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</si>
  <si>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</si>
  <si>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</si>
  <si>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</si>
  <si>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</si>
  <si>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</si>
  <si>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</si>
  <si>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</si>
  <si>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</si>
  <si>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</si>
  <si>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</si>
  <si>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</si>
  <si>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한전전원 품질(전압, 전류, 주파수, 전력 등)</t>
    <phoneticPr fontId="1" type="noConversion"/>
  </si>
  <si>
    <t>환기설비 운전시간</t>
    <phoneticPr fontId="1" type="noConversion"/>
  </si>
  <si>
    <t>급기휀</t>
    <phoneticPr fontId="1" type="noConversion"/>
  </si>
  <si>
    <t>배기휀</t>
    <phoneticPr fontId="1" type="noConversion"/>
  </si>
  <si>
    <t>R상 전류</t>
    <phoneticPr fontId="1" type="noConversion"/>
  </si>
  <si>
    <t>S상 전류</t>
    <phoneticPr fontId="1" type="noConversion"/>
  </si>
  <si>
    <t>T상 전류</t>
    <phoneticPr fontId="1" type="noConversion"/>
  </si>
  <si>
    <t>R상 전압</t>
    <phoneticPr fontId="1" type="noConversion"/>
  </si>
  <si>
    <t>S상 전압</t>
    <phoneticPr fontId="1" type="noConversion"/>
  </si>
  <si>
    <t>T상 전압</t>
    <phoneticPr fontId="1" type="noConversion"/>
  </si>
  <si>
    <t>시간</t>
    <phoneticPr fontId="1" type="noConversion"/>
  </si>
  <si>
    <t>R-S 전압</t>
    <phoneticPr fontId="1" type="noConversion"/>
  </si>
  <si>
    <t>S-T 전압</t>
    <phoneticPr fontId="1" type="noConversion"/>
  </si>
  <si>
    <t>T-R 전압</t>
    <phoneticPr fontId="1" type="noConversion"/>
  </si>
  <si>
    <t>누적 전력량</t>
    <phoneticPr fontId="1" type="noConversion"/>
  </si>
  <si>
    <t>변압기 1 운전현황</t>
    <phoneticPr fontId="1" type="noConversion"/>
  </si>
  <si>
    <t>온도</t>
    <phoneticPr fontId="1" type="noConversion"/>
  </si>
  <si>
    <t>"실내온도"</t>
    <phoneticPr fontId="1" type="noConversion"/>
  </si>
  <si>
    <t>"외기온도"</t>
    <phoneticPr fontId="1" type="noConversion"/>
  </si>
  <si>
    <t>변압기 2 운전현황</t>
    <phoneticPr fontId="1" type="noConversion"/>
  </si>
  <si>
    <t>변압기 3 운전현황</t>
    <phoneticPr fontId="1" type="noConversion"/>
  </si>
  <si>
    <t xml:space="preserve">일자 : </t>
    <phoneticPr fontId="1" type="noConversion"/>
  </si>
  <si>
    <t>별도 첨부 : 래미안개포루체하임아파트 전력설비 운영 상세 자료</t>
    <phoneticPr fontId="1" type="noConversion"/>
  </si>
  <si>
    <t xml:space="preserve">일시 : 2026년 05월 21일 </t>
    <phoneticPr fontId="1" type="noConversion"/>
  </si>
  <si>
    <t xml:space="preserve">날씨 : </t>
    <phoneticPr fontId="1" type="noConversion"/>
  </si>
  <si>
    <t xml:space="preserve">담당자 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</si>
</sst>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1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u/>
      <sz val="11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2"/>
      <color rgb="FF0000FF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1"/>
      <name val="Consolas"/>
      <family val="3"/>
    </font>
    <font>
      <sz val="11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sz val="24"/>
      <color theme="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98">
    <xf numFmtId="0" fontId="0" fillId="0" borderId="0" xfId="0">
      <alignment vertical="center"/>
    </xf>
    <xf numFmtId="0" fontId="6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7" xfId="0" applyBorder="1">
      <alignment vertical="center"/>
    </xf>
    <xf numFmtId="0" fontId="6" fillId="0" borderId="0" xfId="0" applyFont="1">
      <alignment vertical="center"/>
    </xf>
    <xf numFmtId="0" fontId="6" fillId="0" borderId="7" xfId="0" applyFont="1" applyBorder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13" fillId="0" borderId="7" xfId="0" applyFont="1" applyBorder="1">
      <alignment vertical="center"/>
    </xf>
    <xf numFmtId="0" fontId="14" fillId="0" borderId="25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6" fillId="0" borderId="7" xfId="0" applyFont="1" applyBorder="1" applyAlignment="1">
      <alignment vertical="center" wrapText="1"/>
    </xf>
    <xf numFmtId="0" fontId="0" fillId="0" borderId="11" xfId="0" applyBorder="1">
      <alignment vertical="center"/>
    </xf>
    <xf numFmtId="0" fontId="0" fillId="0" borderId="27" xfId="0" applyBorder="1">
      <alignment vertical="center"/>
    </xf>
    <xf numFmtId="0" fontId="5" fillId="0" borderId="27" xfId="0" applyFont="1" applyBorder="1">
      <alignment vertical="center"/>
    </xf>
    <xf numFmtId="0" fontId="0" fillId="0" borderId="28" xfId="0" applyBorder="1">
      <alignment vertical="center"/>
    </xf>
    <xf numFmtId="0" fontId="0" fillId="0" borderId="0" xfId="0" applyAlignment="1">
      <alignment horizontal="center"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6" fillId="2" borderId="13" xfId="0" applyFont="1" applyFill="1" applyBorder="1" applyAlignment="1">
      <alignment vertical="center" wrapText="1"/>
    </xf>
    <xf numFmtId="0" fontId="6" fillId="2" borderId="9" xfId="0" applyFont="1" applyFill="1" applyBorder="1" applyAlignment="1">
      <alignment vertical="center" wrapText="1"/>
    </xf>
    <xf numFmtId="176" fontId="7" fillId="0" borderId="10" xfId="0" applyNumberFormat="1" applyFont="1" applyBorder="1">
      <alignment vertical="center"/>
    </xf>
    <xf numFmtId="176" fontId="7" fillId="0" borderId="14" xfId="0" applyNumberFormat="1" applyFont="1" applyBorder="1">
      <alignment vertical="center"/>
    </xf>
    <xf numFmtId="0" fontId="7" fillId="0" borderId="10" xfId="0" applyFont="1" applyBorder="1">
      <alignment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19" xfId="0" applyFont="1" applyBorder="1" applyAlignment="1">
      <alignment vertical="center" wrapText="1"/>
    </xf>
    <xf numFmtId="2" fontId="7" fillId="0" borderId="19" xfId="0" applyNumberFormat="1" applyFont="1" applyBorder="1">
      <alignment vertical="center"/>
    </xf>
    <xf numFmtId="0" fontId="7" fillId="0" borderId="19" xfId="0" applyFont="1" applyBorder="1">
      <alignment vertical="center"/>
    </xf>
    <xf numFmtId="176" fontId="7" fillId="0" borderId="19" xfId="0" applyNumberFormat="1" applyFont="1" applyBorder="1">
      <alignment vertical="center"/>
    </xf>
    <xf numFmtId="0" fontId="0" fillId="0" borderId="19" xfId="0" applyBorder="1">
      <alignment vertical="center"/>
    </xf>
    <xf numFmtId="0" fontId="0" fillId="3" borderId="19" xfId="0" applyFill="1" applyBorder="1">
      <alignment vertical="center"/>
    </xf>
    <xf numFmtId="0" fontId="17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0" fontId="6" fillId="2" borderId="34" xfId="0" applyFont="1" applyFill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5" fillId="2" borderId="35" xfId="0" applyFont="1" applyFill="1" applyBorder="1" applyAlignment="1">
      <alignment vertical="center" wrapText="1"/>
    </xf>
    <xf numFmtId="0" fontId="6" fillId="2" borderId="38" xfId="0" applyFont="1" applyFill="1" applyBorder="1" applyAlignment="1">
      <alignment vertical="center" wrapText="1"/>
    </xf>
    <xf numFmtId="176" fontId="7" fillId="0" borderId="38" xfId="0" applyNumberFormat="1" applyFont="1" applyBorder="1">
      <alignment vertical="center"/>
    </xf>
    <xf numFmtId="0" fontId="7" fillId="0" borderId="38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40" xfId="0" applyFont="1" applyBorder="1">
      <alignment vertical="center"/>
    </xf>
    <xf numFmtId="176" fontId="7" fillId="0" borderId="42" xfId="0" applyNumberFormat="1" applyFont="1" applyBorder="1">
      <alignment vertical="center"/>
    </xf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76" fontId="5" fillId="0" borderId="1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176" fontId="7" fillId="0" borderId="19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32" xfId="1" applyFont="1" applyBorder="1" applyAlignment="1">
      <alignment horizontal="center" vertical="center"/>
    </xf>
    <xf numFmtId="0" fontId="9" fillId="0" borderId="33" xfId="1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1219200</xdr:colOff>
          <xdr:row>0</xdr:row>
          <xdr:rowOff>9525</xdr:rowOff>
        </xdr:from>
        <xdr:to>
          <xdr:col>10</xdr:col>
          <xdr:colOff>26194</xdr:colOff>
          <xdr:row>2</xdr:row>
          <xdr:rowOff>342900</xdr:rowOff>
        </xdr:to>
        <xdr:pic>
          <xdr:nvPicPr>
            <xdr:cNvPr id="2" name="Picture 421">
              <a:extLst>
                <a:ext uri="{FF2B5EF4-FFF2-40B4-BE49-F238E27FC236}">
                  <a16:creationId xmlns:a16="http://schemas.microsoft.com/office/drawing/2014/main" id="{F5817BD7-2DC9-4394-9EE7-0CDEB3F6B4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[1]결제란!$B$9:$N$12" spid="_x0000_s205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8067675" y="9525"/>
              <a:ext cx="4369594" cy="130492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emi\Downloads\&#51068;&#51648;0514.xlsx" TargetMode="External"/><Relationship Id="rId1" Type="http://schemas.openxmlformats.org/officeDocument/2006/relationships/externalLinkPath" Target="file:///C:\Users\raemi\Downloads\&#51068;&#51648;05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수변전일지"/>
      <sheetName val="열교환설비일지"/>
      <sheetName val="업무일지"/>
      <sheetName val="결제란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49679-66EA-42B1-B9B6-F47B97630B99}">
  <sheetPr>
    <pageSetUpPr fitToPage="1"/>
  </sheetPr>
  <dimension ref="A1:R50"/>
  <sheetViews>
    <sheetView topLeftCell="A19" workbookViewId="0">
      <selection activeCell="A3" sqref="A3"/>
    </sheetView>
  </sheetViews>
  <sheetFormatPr defaultRowHeight="16.5"/>
  <cols>
    <col min="1" max="1" width="9" bestFit="1" customWidth="1"/>
    <col min="2" max="2" width="7.875" customWidth="1"/>
    <col min="3" max="10" width="18.25" customWidth="1"/>
    <col min="11" max="11" width="9.125" customWidth="1"/>
    <col min="12" max="18" width="6" customWidth="1"/>
  </cols>
  <sheetData>
    <row r="1" spans="1:12" ht="38.25">
      <c r="A1" s="72" t="s">
        <v>153</v>
      </c>
      <c r="B1" s="72"/>
      <c r="C1" s="72"/>
      <c r="D1" s="72"/>
      <c r="E1" s="72"/>
      <c r="F1" s="72"/>
      <c r="G1" s="72"/>
      <c r="H1" s="37"/>
      <c r="I1" s="37"/>
      <c r="J1" s="37"/>
    </row>
    <row r="2" spans="1:12" ht="38.25">
      <c r="A2" s="36"/>
      <c r="B2" s="36"/>
      <c r="C2" s="36"/>
      <c r="D2" s="36"/>
      <c r="E2" s="36"/>
      <c r="F2" s="36"/>
      <c r="G2" s="36"/>
      <c r="H2" s="37"/>
      <c r="I2" s="37"/>
      <c r="J2" s="37"/>
    </row>
    <row r="3" spans="1:12" ht="29.25" customHeight="1">
      <c r="A3" s="29" t="s">
        <v>224</v>
      </c>
      <c r="B3" s="20"/>
      <c r="C3" s="20"/>
      <c r="D3" s="29" t="s">
        <v>225</v>
      </c>
      <c r="E3" s="29" t="s">
        <v>226</v>
      </c>
      <c r="F3" s="20"/>
      <c r="G3" s="20"/>
      <c r="H3" s="20"/>
      <c r="I3" s="20"/>
      <c r="J3" s="20"/>
    </row>
    <row r="4" spans="1:12" ht="36" customHeight="1">
      <c r="A4" s="38" t="s">
        <v>139</v>
      </c>
      <c r="B4" s="20"/>
      <c r="C4" s="20"/>
      <c r="D4" s="20"/>
      <c r="E4" s="20"/>
      <c r="F4" s="20"/>
      <c r="G4" s="20"/>
      <c r="H4" s="20"/>
      <c r="I4" s="20"/>
      <c r="J4" s="20"/>
    </row>
    <row r="5" spans="1:12" ht="30" customHeight="1">
      <c r="A5" s="69" t="s">
        <v>138</v>
      </c>
      <c r="B5" s="69"/>
      <c r="C5" s="69" t="s">
        <v>46</v>
      </c>
      <c r="D5" s="69"/>
      <c r="E5" s="69" t="s">
        <v>47</v>
      </c>
      <c r="F5" s="69"/>
      <c r="G5" s="69" t="s">
        <v>48</v>
      </c>
      <c r="H5" s="69"/>
      <c r="I5" s="69" t="s">
        <v>49</v>
      </c>
      <c r="J5" s="69"/>
    </row>
    <row r="6" spans="1:12" ht="30" customHeight="1">
      <c r="A6" s="69"/>
      <c r="B6" s="69"/>
      <c r="C6" s="28" t="s">
        <v>45</v>
      </c>
      <c r="D6" s="28" t="s">
        <v>0</v>
      </c>
      <c r="E6" s="28" t="s">
        <v>45</v>
      </c>
      <c r="F6" s="28" t="s">
        <v>0</v>
      </c>
      <c r="G6" s="28" t="s">
        <v>45</v>
      </c>
      <c r="H6" s="28" t="s">
        <v>0</v>
      </c>
      <c r="I6" s="28" t="s">
        <v>45</v>
      </c>
      <c r="J6" s="28" t="s">
        <v>0</v>
      </c>
    </row>
    <row r="7" spans="1:12" ht="30" customHeight="1">
      <c r="A7" s="69" t="s">
        <v>5</v>
      </c>
      <c r="B7" s="28" t="s">
        <v>2</v>
      </c>
      <c r="C7" s="28" t="s">
        <v>53</v>
      </c>
      <c r="D7" s="28" t="s">
        <v>61</v>
      </c>
      <c r="E7" s="28" t="s">
        <v>71</v>
      </c>
      <c r="F7" s="28" t="s">
        <v>72</v>
      </c>
      <c r="G7" s="28" t="s">
        <v>91</v>
      </c>
      <c r="H7" s="28" t="s">
        <v>92</v>
      </c>
      <c r="I7" s="28" t="s">
        <v>111</v>
      </c>
      <c r="J7" s="28" t="s">
        <v>112</v>
      </c>
      <c r="K7" s="21"/>
      <c r="L7" s="22"/>
    </row>
    <row r="8" spans="1:12" ht="30" customHeight="1">
      <c r="A8" s="69"/>
      <c r="B8" s="28" t="s">
        <v>3</v>
      </c>
      <c r="C8" s="28" t="s">
        <v>55</v>
      </c>
      <c r="D8" s="28" t="s">
        <v>62</v>
      </c>
      <c r="E8" s="28" t="s">
        <v>73</v>
      </c>
      <c r="F8" s="28" t="s">
        <v>74</v>
      </c>
      <c r="G8" s="28" t="s">
        <v>93</v>
      </c>
      <c r="H8" s="28" t="s">
        <v>94</v>
      </c>
      <c r="I8" s="28" t="s">
        <v>113</v>
      </c>
      <c r="J8" s="28" t="s">
        <v>114</v>
      </c>
      <c r="K8" s="21"/>
      <c r="L8" s="22"/>
    </row>
    <row r="9" spans="1:12" ht="30" customHeight="1">
      <c r="A9" s="69"/>
      <c r="B9" s="28" t="s">
        <v>4</v>
      </c>
      <c r="C9" s="28" t="s">
        <v>56</v>
      </c>
      <c r="D9" s="28" t="s">
        <v>63</v>
      </c>
      <c r="E9" s="28" t="s">
        <v>75</v>
      </c>
      <c r="F9" s="28" t="s">
        <v>76</v>
      </c>
      <c r="G9" s="28" t="s">
        <v>95</v>
      </c>
      <c r="H9" s="28" t="s">
        <v>96</v>
      </c>
      <c r="I9" s="28" t="s">
        <v>115</v>
      </c>
      <c r="J9" s="28" t="s">
        <v>116</v>
      </c>
      <c r="K9" s="21"/>
      <c r="L9" s="22"/>
    </row>
    <row r="10" spans="1:12" ht="30" customHeight="1">
      <c r="A10" s="69" t="s">
        <v>6</v>
      </c>
      <c r="B10" s="28" t="s">
        <v>1</v>
      </c>
      <c r="C10" s="28" t="s">
        <v>54</v>
      </c>
      <c r="D10" s="28" t="s">
        <v>64</v>
      </c>
      <c r="E10" s="28" t="s">
        <v>77</v>
      </c>
      <c r="F10" s="28" t="s">
        <v>78</v>
      </c>
      <c r="G10" s="28" t="s">
        <v>97</v>
      </c>
      <c r="H10" s="28" t="s">
        <v>98</v>
      </c>
      <c r="I10" s="28" t="s">
        <v>117</v>
      </c>
      <c r="J10" s="28" t="s">
        <v>118</v>
      </c>
      <c r="K10" s="21"/>
      <c r="L10" s="22"/>
    </row>
    <row r="11" spans="1:12" ht="30" customHeight="1">
      <c r="A11" s="69"/>
      <c r="B11" s="28" t="s">
        <v>7</v>
      </c>
      <c r="C11" s="28" t="s">
        <v>57</v>
      </c>
      <c r="D11" s="28" t="s">
        <v>65</v>
      </c>
      <c r="E11" s="28" t="s">
        <v>79</v>
      </c>
      <c r="F11" s="28" t="s">
        <v>80</v>
      </c>
      <c r="G11" s="28" t="s">
        <v>99</v>
      </c>
      <c r="H11" s="28" t="s">
        <v>100</v>
      </c>
      <c r="I11" s="28" t="s">
        <v>119</v>
      </c>
      <c r="J11" s="28" t="s">
        <v>120</v>
      </c>
      <c r="K11" s="21"/>
      <c r="L11" s="22"/>
    </row>
    <row r="12" spans="1:12" ht="30" customHeight="1">
      <c r="A12" s="69"/>
      <c r="B12" s="28" t="s">
        <v>8</v>
      </c>
      <c r="C12" s="28" t="s">
        <v>58</v>
      </c>
      <c r="D12" s="28" t="s">
        <v>66</v>
      </c>
      <c r="E12" s="28" t="s">
        <v>81</v>
      </c>
      <c r="F12" s="28" t="s">
        <v>82</v>
      </c>
      <c r="G12" s="28" t="s">
        <v>101</v>
      </c>
      <c r="H12" s="28" t="s">
        <v>102</v>
      </c>
      <c r="I12" s="28" t="s">
        <v>121</v>
      </c>
      <c r="J12" s="28" t="s">
        <v>122</v>
      </c>
    </row>
    <row r="13" spans="1:12" ht="30" customHeight="1">
      <c r="A13" s="69" t="s">
        <v>12</v>
      </c>
      <c r="B13" s="28" t="s">
        <v>2</v>
      </c>
      <c r="C13" s="28" t="s">
        <v>50</v>
      </c>
      <c r="D13" s="28" t="s">
        <v>67</v>
      </c>
      <c r="E13" s="28" t="s">
        <v>83</v>
      </c>
      <c r="F13" s="28" t="s">
        <v>84</v>
      </c>
      <c r="G13" s="28" t="s">
        <v>103</v>
      </c>
      <c r="H13" s="28" t="s">
        <v>104</v>
      </c>
      <c r="I13" s="28" t="s">
        <v>123</v>
      </c>
      <c r="J13" s="28" t="s">
        <v>124</v>
      </c>
    </row>
    <row r="14" spans="1:12" ht="30" customHeight="1">
      <c r="A14" s="69"/>
      <c r="B14" s="28" t="s">
        <v>3</v>
      </c>
      <c r="C14" s="28" t="s">
        <v>51</v>
      </c>
      <c r="D14" s="28" t="s">
        <v>68</v>
      </c>
      <c r="E14" s="28" t="s">
        <v>85</v>
      </c>
      <c r="F14" s="28" t="s">
        <v>86</v>
      </c>
      <c r="G14" s="28" t="s">
        <v>105</v>
      </c>
      <c r="H14" s="28" t="s">
        <v>106</v>
      </c>
      <c r="I14" s="28" t="s">
        <v>125</v>
      </c>
      <c r="J14" s="28" t="s">
        <v>126</v>
      </c>
    </row>
    <row r="15" spans="1:12" ht="30" customHeight="1">
      <c r="A15" s="69"/>
      <c r="B15" s="28" t="s">
        <v>4</v>
      </c>
      <c r="C15" s="28" t="s">
        <v>52</v>
      </c>
      <c r="D15" s="28" t="s">
        <v>69</v>
      </c>
      <c r="E15" s="28" t="s">
        <v>87</v>
      </c>
      <c r="F15" s="28" t="s">
        <v>88</v>
      </c>
      <c r="G15" s="28" t="s">
        <v>107</v>
      </c>
      <c r="H15" s="28" t="s">
        <v>108</v>
      </c>
      <c r="I15" s="28" t="s">
        <v>127</v>
      </c>
      <c r="J15" s="28" t="s">
        <v>128</v>
      </c>
    </row>
    <row r="16" spans="1:12" ht="30" customHeight="1">
      <c r="A16" s="28" t="s">
        <v>10</v>
      </c>
      <c r="B16" s="28" t="s">
        <v>11</v>
      </c>
      <c r="C16" s="28" t="s">
        <v>59</v>
      </c>
      <c r="D16" s="28" t="s">
        <v>70</v>
      </c>
      <c r="E16" s="28" t="s">
        <v>89</v>
      </c>
      <c r="F16" s="28" t="s">
        <v>90</v>
      </c>
      <c r="G16" s="28" t="s">
        <v>109</v>
      </c>
      <c r="H16" s="28" t="s">
        <v>110</v>
      </c>
      <c r="I16" s="28" t="s">
        <v>129</v>
      </c>
      <c r="J16" s="28" t="s">
        <v>130</v>
      </c>
    </row>
    <row r="17" spans="1:10" ht="30" customHeight="1">
      <c r="A17" s="69" t="s">
        <v>131</v>
      </c>
      <c r="B17" s="69"/>
      <c r="C17" s="28"/>
      <c r="D17" s="28"/>
      <c r="E17" s="28" t="s">
        <v>132</v>
      </c>
      <c r="F17" s="28" t="s">
        <v>133</v>
      </c>
      <c r="G17" s="28" t="s">
        <v>134</v>
      </c>
      <c r="H17" s="28" t="s">
        <v>135</v>
      </c>
      <c r="I17" s="28" t="s">
        <v>136</v>
      </c>
      <c r="J17" s="28" t="s">
        <v>137</v>
      </c>
    </row>
    <row r="18" spans="1:10" ht="30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</row>
    <row r="19" spans="1:10" ht="30" customHeight="1">
      <c r="A19" s="29" t="s">
        <v>140</v>
      </c>
      <c r="B19" s="20"/>
      <c r="C19" s="20"/>
      <c r="D19" s="20"/>
      <c r="E19" s="20"/>
      <c r="F19" s="20"/>
      <c r="G19" s="20"/>
      <c r="H19" s="20"/>
      <c r="I19" s="20"/>
      <c r="J19" s="20"/>
    </row>
    <row r="20" spans="1:10" ht="30" customHeight="1">
      <c r="A20" s="69" t="s">
        <v>152</v>
      </c>
      <c r="B20" s="69"/>
      <c r="C20" s="69" t="s">
        <v>143</v>
      </c>
      <c r="D20" s="69"/>
      <c r="E20" s="69" t="s">
        <v>144</v>
      </c>
      <c r="F20" s="69"/>
      <c r="G20" s="69" t="s">
        <v>145</v>
      </c>
      <c r="H20" s="69"/>
      <c r="I20" s="28"/>
      <c r="J20" s="28"/>
    </row>
    <row r="21" spans="1:10" ht="30" customHeight="1">
      <c r="A21" s="69" t="s">
        <v>151</v>
      </c>
      <c r="B21" s="69"/>
      <c r="C21" s="69" t="s">
        <v>142</v>
      </c>
      <c r="D21" s="69"/>
      <c r="E21" s="69" t="s">
        <v>60</v>
      </c>
      <c r="F21" s="69"/>
      <c r="G21" s="74" t="s">
        <v>148</v>
      </c>
      <c r="H21" s="69"/>
      <c r="I21" s="28"/>
      <c r="J21" s="28"/>
    </row>
    <row r="22" spans="1:10" ht="30" customHeight="1">
      <c r="A22" s="69" t="s">
        <v>146</v>
      </c>
      <c r="B22" s="69"/>
      <c r="C22" s="69" t="s">
        <v>147</v>
      </c>
      <c r="D22" s="69"/>
      <c r="E22" s="69" t="s">
        <v>149</v>
      </c>
      <c r="F22" s="69"/>
      <c r="G22" s="74" t="s">
        <v>150</v>
      </c>
      <c r="H22" s="74"/>
      <c r="I22" s="28"/>
      <c r="J22" s="28"/>
    </row>
    <row r="23" spans="1:10" ht="30" customHeight="1">
      <c r="A23" s="20"/>
      <c r="B23" s="20"/>
      <c r="G23" s="20"/>
      <c r="H23" s="20"/>
      <c r="I23" s="20"/>
      <c r="J23" s="20"/>
    </row>
    <row r="24" spans="1:10" ht="30" customHeight="1">
      <c r="A24" t="s">
        <v>141</v>
      </c>
      <c r="C24" s="20"/>
      <c r="D24" s="20"/>
      <c r="E24" s="20"/>
      <c r="F24" s="20"/>
      <c r="G24" s="20"/>
      <c r="H24" s="20"/>
      <c r="I24" s="20"/>
      <c r="J24" s="20"/>
    </row>
    <row r="25" spans="1:10" ht="30" customHeight="1">
      <c r="A25" s="70" t="s">
        <v>15</v>
      </c>
      <c r="B25" s="70"/>
      <c r="C25" s="73" t="s">
        <v>16</v>
      </c>
      <c r="D25" s="73"/>
      <c r="E25" s="73" t="s">
        <v>17</v>
      </c>
      <c r="F25" s="73"/>
      <c r="G25" s="73"/>
      <c r="H25" s="73" t="s">
        <v>18</v>
      </c>
      <c r="I25" s="73"/>
      <c r="J25" s="73"/>
    </row>
    <row r="26" spans="1:10" ht="30" customHeight="1">
      <c r="A26" s="70"/>
      <c r="B26" s="70"/>
      <c r="C26" s="30" t="s">
        <v>19</v>
      </c>
      <c r="D26" s="30" t="s">
        <v>20</v>
      </c>
      <c r="E26" s="30" t="s">
        <v>21</v>
      </c>
      <c r="F26" s="30" t="s">
        <v>22</v>
      </c>
      <c r="G26" s="30" t="s">
        <v>23</v>
      </c>
      <c r="H26" s="30" t="s">
        <v>24</v>
      </c>
      <c r="I26" s="30" t="s">
        <v>25</v>
      </c>
      <c r="J26" s="30" t="s">
        <v>26</v>
      </c>
    </row>
    <row r="27" spans="1:10" ht="30" customHeight="1">
      <c r="A27" s="71" t="s">
        <v>27</v>
      </c>
      <c r="B27" s="71"/>
      <c r="C27" s="31">
        <v>1469.79</v>
      </c>
      <c r="D27" s="32">
        <v>0</v>
      </c>
      <c r="E27" s="31">
        <v>7088.2</v>
      </c>
      <c r="F27" s="32">
        <v>3599.75</v>
      </c>
      <c r="G27" s="32">
        <v>9908.81</v>
      </c>
      <c r="H27" s="32">
        <v>10584</v>
      </c>
      <c r="I27" s="32">
        <v>1640</v>
      </c>
      <c r="J27" s="32">
        <v>34507</v>
      </c>
    </row>
    <row r="28" spans="1:10" ht="30" customHeight="1">
      <c r="A28" s="71" t="s">
        <v>28</v>
      </c>
      <c r="B28" s="71"/>
      <c r="C28" s="31">
        <v>1464.06</v>
      </c>
      <c r="D28" s="32">
        <v>0</v>
      </c>
      <c r="E28" s="31">
        <v>7085.3</v>
      </c>
      <c r="F28" s="32">
        <v>3597.94</v>
      </c>
      <c r="G28" s="32">
        <v>9905.8700000000008</v>
      </c>
      <c r="H28" s="32">
        <v>10574</v>
      </c>
      <c r="I28" s="32">
        <v>1639</v>
      </c>
      <c r="J28" s="32">
        <v>34477</v>
      </c>
    </row>
    <row r="29" spans="1:10" ht="30" customHeight="1">
      <c r="A29" s="71" t="s">
        <v>29</v>
      </c>
      <c r="B29" s="71"/>
      <c r="C29" s="32">
        <f t="shared" ref="C29:J29" si="0">C27-C28</f>
        <v>5.7300000000000182</v>
      </c>
      <c r="D29" s="32">
        <f t="shared" si="0"/>
        <v>0</v>
      </c>
      <c r="E29" s="33">
        <f t="shared" si="0"/>
        <v>2.8999999999996362</v>
      </c>
      <c r="F29" s="32">
        <f t="shared" si="0"/>
        <v>1.8099999999999454</v>
      </c>
      <c r="G29" s="32">
        <f t="shared" si="0"/>
        <v>2.9399999999986903</v>
      </c>
      <c r="H29" s="32">
        <f t="shared" si="0"/>
        <v>10</v>
      </c>
      <c r="I29" s="32">
        <f t="shared" si="0"/>
        <v>1</v>
      </c>
      <c r="J29" s="32">
        <f t="shared" si="0"/>
        <v>30</v>
      </c>
    </row>
    <row r="30" spans="1:10" ht="30" customHeight="1">
      <c r="A30" s="71" t="s">
        <v>30</v>
      </c>
      <c r="B30" s="71"/>
      <c r="C30" s="32">
        <f>C29*2400</f>
        <v>13752.000000000044</v>
      </c>
      <c r="D30" s="32">
        <f>D29</f>
        <v>0</v>
      </c>
      <c r="E30" s="32">
        <f>E29*80</f>
        <v>231.9999999999709</v>
      </c>
      <c r="F30" s="32">
        <f>F29*80</f>
        <v>144.79999999999563</v>
      </c>
      <c r="G30" s="32">
        <f>G29*80</f>
        <v>235.19999999989523</v>
      </c>
      <c r="H30" s="32">
        <f>H29</f>
        <v>10</v>
      </c>
      <c r="I30" s="32">
        <f>I29</f>
        <v>1</v>
      </c>
      <c r="J30" s="32">
        <f>J29</f>
        <v>30</v>
      </c>
    </row>
    <row r="31" spans="1:10" ht="30" customHeight="1">
      <c r="A31" s="71" t="s">
        <v>31</v>
      </c>
      <c r="B31" s="71"/>
      <c r="C31" s="32"/>
      <c r="D31" s="32">
        <f>E47</f>
        <v>0</v>
      </c>
      <c r="E31" s="32">
        <f>G47</f>
        <v>5927.9999999999563</v>
      </c>
      <c r="F31" s="32">
        <f>I47</f>
        <v>2864.0000000000146</v>
      </c>
      <c r="G31" s="32">
        <f>K47</f>
        <v>8354.4000000000233</v>
      </c>
      <c r="H31" s="32">
        <f>M47</f>
        <v>279</v>
      </c>
      <c r="I31" s="32">
        <f>O47</f>
        <v>2</v>
      </c>
      <c r="J31" s="32">
        <f>Q47</f>
        <v>913</v>
      </c>
    </row>
    <row r="32" spans="1:10" ht="30" customHeight="1" thickBot="1">
      <c r="A32" s="87" t="s">
        <v>32</v>
      </c>
      <c r="B32" s="88"/>
      <c r="C32" s="75" t="e">
        <f>C29/(SQRT(C29^2+D16^2*100))</f>
        <v>#VALUE!</v>
      </c>
      <c r="D32" s="76"/>
      <c r="E32" s="76"/>
      <c r="F32" s="77"/>
      <c r="G32" s="39" t="s">
        <v>33</v>
      </c>
      <c r="H32" s="40" t="s">
        <v>34</v>
      </c>
      <c r="I32" s="41" t="s">
        <v>35</v>
      </c>
      <c r="J32" s="41" t="s">
        <v>36</v>
      </c>
    </row>
    <row r="33" spans="1:18" ht="30" customHeight="1">
      <c r="A33" s="89" t="s">
        <v>37</v>
      </c>
      <c r="B33" s="90"/>
      <c r="C33" s="78"/>
      <c r="D33" s="79"/>
      <c r="E33" s="79"/>
      <c r="F33" s="80"/>
      <c r="G33" s="42" t="s">
        <v>38</v>
      </c>
      <c r="H33" s="43">
        <v>15793.11</v>
      </c>
      <c r="I33" s="44">
        <v>62922.79</v>
      </c>
      <c r="J33" s="45">
        <v>9918.52</v>
      </c>
    </row>
    <row r="34" spans="1:18" ht="30" customHeight="1">
      <c r="A34" s="91"/>
      <c r="B34" s="92"/>
      <c r="C34" s="81"/>
      <c r="D34" s="82"/>
      <c r="E34" s="82"/>
      <c r="F34" s="83"/>
      <c r="G34" s="24" t="s">
        <v>39</v>
      </c>
      <c r="H34" s="25">
        <v>15786.43</v>
      </c>
      <c r="I34" s="27">
        <v>62922.14</v>
      </c>
      <c r="J34" s="46">
        <v>9909.17</v>
      </c>
    </row>
    <row r="35" spans="1:18" ht="30" customHeight="1" thickBot="1">
      <c r="A35" s="93"/>
      <c r="B35" s="94"/>
      <c r="C35" s="84"/>
      <c r="D35" s="85"/>
      <c r="E35" s="85"/>
      <c r="F35" s="86"/>
      <c r="G35" s="23" t="s">
        <v>40</v>
      </c>
      <c r="H35" s="26">
        <f>H33-H34</f>
        <v>6.680000000000291</v>
      </c>
      <c r="I35" s="26">
        <f t="shared" ref="I35" si="1">I33-I34</f>
        <v>0.65000000000145519</v>
      </c>
      <c r="J35" s="47">
        <f>J33-J34</f>
        <v>9.3500000000003638</v>
      </c>
    </row>
    <row r="38" spans="1:18" ht="26.25">
      <c r="B38" s="48"/>
      <c r="C38" s="48"/>
      <c r="Q38" s="2" t="s">
        <v>41</v>
      </c>
      <c r="R38" s="2"/>
    </row>
    <row r="39" spans="1:18" ht="17.25" thickBot="1"/>
    <row r="40" spans="1:18"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5"/>
    </row>
    <row r="41" spans="1:18" ht="19.5">
      <c r="B41" s="6"/>
      <c r="C41" s="49" t="s">
        <v>42</v>
      </c>
      <c r="D41" s="50"/>
      <c r="E41" s="50"/>
      <c r="F41" s="51"/>
      <c r="G41" s="50" t="s">
        <v>17</v>
      </c>
      <c r="H41" s="50"/>
      <c r="I41" s="50"/>
      <c r="J41" s="50"/>
      <c r="K41" s="50"/>
      <c r="L41" s="51"/>
      <c r="M41" s="50" t="s">
        <v>18</v>
      </c>
      <c r="N41" s="50"/>
      <c r="O41" s="50"/>
      <c r="P41" s="50"/>
      <c r="Q41" s="50"/>
      <c r="R41" s="52"/>
    </row>
    <row r="42" spans="1:18">
      <c r="B42" s="6"/>
      <c r="C42" s="53" t="s">
        <v>19</v>
      </c>
      <c r="D42" s="54"/>
      <c r="E42" s="53" t="s">
        <v>20</v>
      </c>
      <c r="F42" s="54"/>
      <c r="G42" s="53" t="s">
        <v>21</v>
      </c>
      <c r="H42" s="54"/>
      <c r="I42" s="53" t="s">
        <v>22</v>
      </c>
      <c r="J42" s="54"/>
      <c r="K42" s="53" t="s">
        <v>23</v>
      </c>
      <c r="L42" s="54"/>
      <c r="M42" s="53" t="s">
        <v>24</v>
      </c>
      <c r="N42" s="54"/>
      <c r="O42" s="53" t="s">
        <v>25</v>
      </c>
      <c r="P42" s="54"/>
      <c r="Q42" s="55" t="s">
        <v>26</v>
      </c>
      <c r="R42" s="56"/>
    </row>
    <row r="43" spans="1:18" ht="17.25">
      <c r="A43" s="7"/>
      <c r="B43" s="8" t="s">
        <v>38</v>
      </c>
      <c r="C43" s="54" t="e">
        <f>#REF!</f>
        <v>#REF!</v>
      </c>
      <c r="D43" s="54"/>
      <c r="E43" s="54">
        <f>D27</f>
        <v>0</v>
      </c>
      <c r="F43" s="54"/>
      <c r="G43" s="54">
        <f>E27</f>
        <v>7088.2</v>
      </c>
      <c r="H43" s="54"/>
      <c r="I43" s="54">
        <f>F27</f>
        <v>3599.75</v>
      </c>
      <c r="J43" s="54"/>
      <c r="K43" s="58">
        <f>G27</f>
        <v>9908.81</v>
      </c>
      <c r="L43" s="58"/>
      <c r="M43" s="54">
        <f>H27</f>
        <v>10584</v>
      </c>
      <c r="N43" s="54"/>
      <c r="O43" s="54">
        <f>I27</f>
        <v>1640</v>
      </c>
      <c r="P43" s="54"/>
      <c r="Q43" s="54">
        <f>J27</f>
        <v>34507</v>
      </c>
      <c r="R43" s="57"/>
    </row>
    <row r="44" spans="1:18" ht="17.25">
      <c r="A44" s="9"/>
      <c r="B44" s="1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1"/>
    </row>
    <row r="45" spans="1:18" ht="17.25">
      <c r="A45" s="7"/>
      <c r="B45" s="12" t="s">
        <v>43</v>
      </c>
      <c r="C45" s="62">
        <v>1309.8499999999999</v>
      </c>
      <c r="D45" s="62"/>
      <c r="E45" s="62">
        <v>0</v>
      </c>
      <c r="F45" s="62"/>
      <c r="G45" s="62">
        <v>7014.1</v>
      </c>
      <c r="H45" s="62"/>
      <c r="I45" s="62">
        <v>3563.95</v>
      </c>
      <c r="J45" s="62"/>
      <c r="K45" s="63">
        <v>9804.3799999999992</v>
      </c>
      <c r="L45" s="63"/>
      <c r="M45" s="62">
        <v>10305</v>
      </c>
      <c r="N45" s="62"/>
      <c r="O45" s="62">
        <v>1638</v>
      </c>
      <c r="P45" s="62"/>
      <c r="Q45" s="62">
        <v>33594</v>
      </c>
      <c r="R45" s="62"/>
    </row>
    <row r="46" spans="1:18" ht="17.25">
      <c r="A46" s="9"/>
      <c r="B46" s="1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1"/>
    </row>
    <row r="47" spans="1:18" ht="17.25">
      <c r="A47" s="7"/>
      <c r="B47" s="8" t="s">
        <v>31</v>
      </c>
      <c r="C47" s="59" t="e">
        <f>(C43-C45)*2400</f>
        <v>#REF!</v>
      </c>
      <c r="D47" s="60"/>
      <c r="E47" s="59">
        <f>(E43-E45)</f>
        <v>0</v>
      </c>
      <c r="F47" s="60"/>
      <c r="G47" s="59">
        <f>(G43-G45)*80</f>
        <v>5927.9999999999563</v>
      </c>
      <c r="H47" s="60"/>
      <c r="I47" s="59">
        <f>(I43-I45)*80</f>
        <v>2864.0000000000146</v>
      </c>
      <c r="J47" s="60"/>
      <c r="K47" s="59">
        <f>(K43-K45)*80</f>
        <v>8354.4000000000233</v>
      </c>
      <c r="L47" s="60"/>
      <c r="M47" s="59">
        <f>(M43-M45)</f>
        <v>279</v>
      </c>
      <c r="N47" s="60"/>
      <c r="O47" s="59">
        <f>(O43-O45)</f>
        <v>2</v>
      </c>
      <c r="P47" s="60"/>
      <c r="Q47" s="59">
        <f>(Q43-Q45)</f>
        <v>913</v>
      </c>
      <c r="R47" s="61"/>
    </row>
    <row r="48" spans="1:18" ht="17.25">
      <c r="A48" s="9"/>
      <c r="B48" s="1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4"/>
    </row>
    <row r="49" spans="1:18" ht="34.5">
      <c r="A49" s="7"/>
      <c r="B49" s="15" t="s">
        <v>44</v>
      </c>
      <c r="C49" s="64">
        <v>100</v>
      </c>
      <c r="D49" s="65"/>
      <c r="E49" s="65"/>
      <c r="F49" s="66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8"/>
    </row>
    <row r="50" spans="1:18" ht="17.25" thickBot="1">
      <c r="B50" s="16"/>
      <c r="C50" s="17"/>
      <c r="D50" s="17"/>
      <c r="E50" s="17"/>
      <c r="F50" s="17"/>
      <c r="G50" s="17"/>
      <c r="H50" s="17"/>
      <c r="I50" s="17"/>
      <c r="J50" s="17"/>
      <c r="K50" s="18"/>
      <c r="L50" s="17"/>
      <c r="M50" s="17"/>
      <c r="N50" s="17"/>
      <c r="O50" s="17"/>
      <c r="P50" s="17"/>
      <c r="Q50" s="17"/>
      <c r="R50" s="19"/>
    </row>
  </sheetData>
  <mergeCells count="74">
    <mergeCell ref="C32:F32"/>
    <mergeCell ref="C33:F35"/>
    <mergeCell ref="C22:D22"/>
    <mergeCell ref="A21:B21"/>
    <mergeCell ref="A22:B22"/>
    <mergeCell ref="A32:B32"/>
    <mergeCell ref="A33:B35"/>
    <mergeCell ref="A1:G1"/>
    <mergeCell ref="C25:D25"/>
    <mergeCell ref="E25:G25"/>
    <mergeCell ref="H25:J25"/>
    <mergeCell ref="C21:D21"/>
    <mergeCell ref="C20:D20"/>
    <mergeCell ref="E20:F20"/>
    <mergeCell ref="E21:F21"/>
    <mergeCell ref="G20:H20"/>
    <mergeCell ref="G22:H22"/>
    <mergeCell ref="E22:F22"/>
    <mergeCell ref="G21:H21"/>
    <mergeCell ref="C5:D5"/>
    <mergeCell ref="E5:F5"/>
    <mergeCell ref="G5:H5"/>
    <mergeCell ref="I5:J5"/>
    <mergeCell ref="A17:B17"/>
    <mergeCell ref="A5:B6"/>
    <mergeCell ref="A30:B30"/>
    <mergeCell ref="A31:B31"/>
    <mergeCell ref="A20:B20"/>
    <mergeCell ref="C49:F49"/>
    <mergeCell ref="G49:L49"/>
    <mergeCell ref="M49:R49"/>
    <mergeCell ref="A7:A9"/>
    <mergeCell ref="A10:A12"/>
    <mergeCell ref="A13:A15"/>
    <mergeCell ref="A25:B26"/>
    <mergeCell ref="A27:B27"/>
    <mergeCell ref="A28:B28"/>
    <mergeCell ref="A29:B29"/>
    <mergeCell ref="O45:P45"/>
    <mergeCell ref="Q45:R45"/>
    <mergeCell ref="C47:D47"/>
    <mergeCell ref="E47:F47"/>
    <mergeCell ref="G47:H47"/>
    <mergeCell ref="I47:J47"/>
    <mergeCell ref="K47:L47"/>
    <mergeCell ref="M47:N47"/>
    <mergeCell ref="O47:P47"/>
    <mergeCell ref="Q47:R47"/>
    <mergeCell ref="C45:D45"/>
    <mergeCell ref="E45:F45"/>
    <mergeCell ref="G45:H45"/>
    <mergeCell ref="I45:J45"/>
    <mergeCell ref="K45:L45"/>
    <mergeCell ref="M45:N45"/>
    <mergeCell ref="M43:N43"/>
    <mergeCell ref="O43:P43"/>
    <mergeCell ref="Q43:R43"/>
    <mergeCell ref="C42:D42"/>
    <mergeCell ref="E42:F42"/>
    <mergeCell ref="G42:H42"/>
    <mergeCell ref="I42:J42"/>
    <mergeCell ref="K42:L42"/>
    <mergeCell ref="M42:N42"/>
    <mergeCell ref="C43:D43"/>
    <mergeCell ref="E43:F43"/>
    <mergeCell ref="G43:H43"/>
    <mergeCell ref="I43:J43"/>
    <mergeCell ref="K43:L43"/>
    <mergeCell ref="B38:C38"/>
    <mergeCell ref="C41:F41"/>
    <mergeCell ref="G41:L41"/>
    <mergeCell ref="M41:R41"/>
    <mergeCell ref="O42:P42"/>
    <mergeCell ref="Q42:R42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37" orientation="portrait" verticalDpi="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6089-B716-4F54-8BAF-D115A5AC9D49}">
  <sheetPr>
    <pageSetUpPr fitToPage="1"/>
  </sheetPr>
  <dimension ref="A1:AB58"/>
  <sheetViews>
    <sheetView tabSelected="1" workbookViewId="0">
      <selection activeCell="B29" sqref="B7:AB29"/>
    </sheetView>
  </sheetViews>
  <sheetFormatPr defaultRowHeight="16.5"/>
  <cols>
    <col min="2" max="2" width="10.875" bestFit="1" customWidth="1"/>
    <col min="3" max="28" width="13.625" customWidth="1"/>
  </cols>
  <sheetData>
    <row r="1" spans="1:28">
      <c r="A1" t="s">
        <v>223</v>
      </c>
    </row>
    <row r="3" spans="1:28">
      <c r="A3" t="s">
        <v>222</v>
      </c>
    </row>
    <row r="4" spans="1:28">
      <c r="A4" s="69" t="s">
        <v>211</v>
      </c>
      <c r="B4" s="97" t="s">
        <v>13</v>
      </c>
      <c r="C4" s="69" t="s">
        <v>14</v>
      </c>
      <c r="D4" s="69" t="s">
        <v>202</v>
      </c>
      <c r="E4" s="69"/>
      <c r="F4" s="69" t="s">
        <v>201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 t="s">
        <v>216</v>
      </c>
      <c r="S4" s="69"/>
      <c r="T4" s="69"/>
      <c r="U4" s="69"/>
      <c r="V4" s="69"/>
      <c r="W4" s="69"/>
      <c r="X4" s="69"/>
      <c r="Y4" s="69"/>
      <c r="Z4" s="69"/>
      <c r="AA4" s="69"/>
      <c r="AB4" s="69"/>
    </row>
    <row r="5" spans="1:28">
      <c r="A5" s="69"/>
      <c r="B5" s="97"/>
      <c r="C5" s="69"/>
      <c r="D5" s="28" t="s">
        <v>203</v>
      </c>
      <c r="E5" s="28" t="s">
        <v>204</v>
      </c>
      <c r="F5" s="28" t="s">
        <v>205</v>
      </c>
      <c r="G5" s="28" t="s">
        <v>206</v>
      </c>
      <c r="H5" s="28" t="s">
        <v>207</v>
      </c>
      <c r="I5" s="28" t="s">
        <v>208</v>
      </c>
      <c r="J5" s="28" t="s">
        <v>209</v>
      </c>
      <c r="K5" s="28" t="s">
        <v>210</v>
      </c>
      <c r="L5" s="28" t="s">
        <v>212</v>
      </c>
      <c r="M5" s="28" t="s">
        <v>213</v>
      </c>
      <c r="N5" s="28" t="s">
        <v>214</v>
      </c>
      <c r="O5" s="28" t="s">
        <v>9</v>
      </c>
      <c r="P5" s="28" t="s">
        <v>10</v>
      </c>
      <c r="Q5" s="28" t="s">
        <v>215</v>
      </c>
      <c r="R5" s="28" t="s">
        <v>205</v>
      </c>
      <c r="S5" s="28" t="s">
        <v>206</v>
      </c>
      <c r="T5" s="28" t="s">
        <v>207</v>
      </c>
      <c r="U5" s="28" t="s">
        <v>208</v>
      </c>
      <c r="V5" s="28" t="s">
        <v>209</v>
      </c>
      <c r="W5" s="28" t="s">
        <v>210</v>
      </c>
      <c r="X5" s="28" t="s">
        <v>212</v>
      </c>
      <c r="Y5" s="28" t="s">
        <v>213</v>
      </c>
      <c r="Z5" s="28" t="s">
        <v>214</v>
      </c>
      <c r="AA5" s="28" t="s">
        <v>10</v>
      </c>
      <c r="AB5" s="28" t="s">
        <v>217</v>
      </c>
    </row>
    <row r="6" spans="1:28">
      <c r="A6" s="34">
        <v>0</v>
      </c>
      <c r="B6" s="35" t="s">
        <v>218</v>
      </c>
      <c r="C6" s="34" t="s">
        <v>219</v>
      </c>
      <c r="D6" s="34" t="s">
        <v>154</v>
      </c>
      <c r="E6" s="34" t="s">
        <v>155</v>
      </c>
      <c r="F6" s="34" t="s">
        <v>156</v>
      </c>
      <c r="G6" s="34" t="s">
        <v>157</v>
      </c>
      <c r="H6" s="34" t="s">
        <v>158</v>
      </c>
      <c r="I6" s="34" t="s">
        <v>159</v>
      </c>
      <c r="J6" s="34" t="s">
        <v>160</v>
      </c>
      <c r="K6" s="34" t="s">
        <v>161</v>
      </c>
      <c r="L6" s="34" t="s">
        <v>162</v>
      </c>
      <c r="M6" s="34" t="s">
        <v>163</v>
      </c>
      <c r="N6" s="34" t="s">
        <v>164</v>
      </c>
      <c r="O6" s="34" t="s">
        <v>165</v>
      </c>
      <c r="P6" s="34" t="s">
        <v>166</v>
      </c>
      <c r="Q6" s="34" t="s">
        <v>167</v>
      </c>
      <c r="R6" s="34" t="s">
        <v>168</v>
      </c>
      <c r="S6" s="34" t="s">
        <v>169</v>
      </c>
      <c r="T6" s="34" t="s">
        <v>170</v>
      </c>
      <c r="U6" s="34" t="s">
        <v>171</v>
      </c>
      <c r="V6" s="34" t="s">
        <v>172</v>
      </c>
      <c r="W6" s="34" t="s">
        <v>173</v>
      </c>
      <c r="X6" s="34" t="s">
        <v>174</v>
      </c>
      <c r="Y6" s="34" t="s">
        <v>175</v>
      </c>
      <c r="Z6" s="34" t="s">
        <v>176</v>
      </c>
      <c r="AA6" s="34" t="s">
        <v>177</v>
      </c>
      <c r="AB6" s="34" t="s">
        <v>178</v>
      </c>
    </row>
    <row r="7" spans="1:28">
      <c r="A7" s="34">
        <v>1</v>
      </c>
      <c r="B7" s="35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</row>
    <row r="8" spans="1:28">
      <c r="A8" s="34">
        <v>2</v>
      </c>
      <c r="B8" s="35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pans="1:28">
      <c r="A9" s="34">
        <v>3</v>
      </c>
      <c r="B9" s="35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</row>
    <row r="10" spans="1:28">
      <c r="A10" s="34">
        <v>4</v>
      </c>
      <c r="B10" s="35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</row>
    <row r="11" spans="1:28">
      <c r="A11" s="34">
        <v>5</v>
      </c>
      <c r="B11" s="35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</row>
    <row r="12" spans="1:28">
      <c r="A12" s="34">
        <v>6</v>
      </c>
      <c r="B12" s="35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</row>
    <row r="13" spans="1:28">
      <c r="A13" s="34">
        <v>7</v>
      </c>
      <c r="B13" s="35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</row>
    <row r="14" spans="1:28">
      <c r="A14" s="34">
        <v>8</v>
      </c>
      <c r="B14" s="35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</row>
    <row r="15" spans="1:28">
      <c r="A15" s="34">
        <v>9</v>
      </c>
      <c r="B15" s="35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</row>
    <row r="16" spans="1:28">
      <c r="A16" s="34">
        <v>10</v>
      </c>
      <c r="B16" s="35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</row>
    <row r="17" spans="1:28">
      <c r="A17" s="34">
        <v>11</v>
      </c>
      <c r="B17" s="35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</row>
    <row r="18" spans="1:28">
      <c r="A18" s="34">
        <v>12</v>
      </c>
      <c r="B18" s="35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</row>
    <row r="19" spans="1:28">
      <c r="A19" s="34">
        <v>13</v>
      </c>
      <c r="B19" s="35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</row>
    <row r="20" spans="1:28">
      <c r="A20" s="34">
        <v>14</v>
      </c>
      <c r="B20" s="35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</row>
    <row r="21" spans="1:28">
      <c r="A21" s="34">
        <v>15</v>
      </c>
      <c r="B21" s="35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</row>
    <row r="22" spans="1:28">
      <c r="A22" s="34">
        <v>16</v>
      </c>
      <c r="B22" s="35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</row>
    <row r="23" spans="1:28">
      <c r="A23" s="34">
        <v>17</v>
      </c>
      <c r="B23" s="35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</row>
    <row r="24" spans="1:28">
      <c r="A24" s="34">
        <v>18</v>
      </c>
      <c r="B24" s="35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</row>
    <row r="25" spans="1:28">
      <c r="A25" s="34">
        <v>19</v>
      </c>
      <c r="B25" s="35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</row>
    <row r="26" spans="1:28">
      <c r="A26" s="34">
        <v>20</v>
      </c>
      <c r="B26" s="35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</row>
    <row r="27" spans="1:28">
      <c r="A27" s="34">
        <v>21</v>
      </c>
      <c r="B27" s="35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</row>
    <row r="28" spans="1:28">
      <c r="A28" s="34">
        <v>22</v>
      </c>
      <c r="B28" s="35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</row>
    <row r="29" spans="1:28">
      <c r="A29" s="34">
        <v>23</v>
      </c>
      <c r="B29" s="35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</row>
    <row r="32" spans="1:28">
      <c r="A32" s="95" t="s">
        <v>211</v>
      </c>
      <c r="B32" s="69" t="s">
        <v>220</v>
      </c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 t="s">
        <v>221</v>
      </c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34"/>
      <c r="Y32" s="34"/>
      <c r="Z32" s="34"/>
      <c r="AA32" s="34"/>
      <c r="AB32" s="34"/>
    </row>
    <row r="33" spans="1:28">
      <c r="A33" s="96"/>
      <c r="B33" s="28" t="s">
        <v>205</v>
      </c>
      <c r="C33" s="28" t="s">
        <v>206</v>
      </c>
      <c r="D33" s="28" t="s">
        <v>207</v>
      </c>
      <c r="E33" s="28" t="s">
        <v>208</v>
      </c>
      <c r="F33" s="28" t="s">
        <v>209</v>
      </c>
      <c r="G33" s="28" t="s">
        <v>210</v>
      </c>
      <c r="H33" s="28" t="s">
        <v>212</v>
      </c>
      <c r="I33" s="28" t="s">
        <v>213</v>
      </c>
      <c r="J33" s="28" t="s">
        <v>214</v>
      </c>
      <c r="K33" s="28" t="s">
        <v>10</v>
      </c>
      <c r="L33" s="28" t="s">
        <v>217</v>
      </c>
      <c r="M33" s="28" t="s">
        <v>205</v>
      </c>
      <c r="N33" s="28" t="s">
        <v>206</v>
      </c>
      <c r="O33" s="28" t="s">
        <v>207</v>
      </c>
      <c r="P33" s="28" t="s">
        <v>208</v>
      </c>
      <c r="Q33" s="28" t="s">
        <v>209</v>
      </c>
      <c r="R33" s="28" t="s">
        <v>210</v>
      </c>
      <c r="S33" s="28" t="s">
        <v>212</v>
      </c>
      <c r="T33" s="28" t="s">
        <v>213</v>
      </c>
      <c r="U33" s="28" t="s">
        <v>214</v>
      </c>
      <c r="V33" s="28" t="s">
        <v>10</v>
      </c>
      <c r="W33" s="28" t="s">
        <v>217</v>
      </c>
      <c r="X33" s="34"/>
      <c r="Y33" s="34"/>
      <c r="Z33" s="34"/>
      <c r="AA33" s="34"/>
      <c r="AB33" s="34"/>
    </row>
    <row r="34" spans="1:28">
      <c r="A34" s="34">
        <v>0</v>
      </c>
      <c r="B34" s="34" t="s">
        <v>179</v>
      </c>
      <c r="C34" s="34" t="s">
        <v>180</v>
      </c>
      <c r="D34" s="34" t="s">
        <v>181</v>
      </c>
      <c r="E34" s="34" t="s">
        <v>182</v>
      </c>
      <c r="F34" s="34" t="s">
        <v>183</v>
      </c>
      <c r="G34" s="34" t="s">
        <v>184</v>
      </c>
      <c r="H34" s="34" t="s">
        <v>185</v>
      </c>
      <c r="I34" s="34" t="s">
        <v>186</v>
      </c>
      <c r="J34" s="34" t="s">
        <v>187</v>
      </c>
      <c r="K34" s="34" t="s">
        <v>188</v>
      </c>
      <c r="L34" s="34" t="s">
        <v>189</v>
      </c>
      <c r="M34" s="34" t="s">
        <v>190</v>
      </c>
      <c r="N34" s="34" t="s">
        <v>191</v>
      </c>
      <c r="O34" s="34" t="s">
        <v>192</v>
      </c>
      <c r="P34" s="34" t="s">
        <v>193</v>
      </c>
      <c r="Q34" s="34" t="s">
        <v>194</v>
      </c>
      <c r="R34" s="34" t="s">
        <v>195</v>
      </c>
      <c r="S34" s="34" t="s">
        <v>196</v>
      </c>
      <c r="T34" s="34" t="s">
        <v>197</v>
      </c>
      <c r="U34" s="34" t="s">
        <v>198</v>
      </c>
      <c r="V34" s="34" t="s">
        <v>199</v>
      </c>
      <c r="W34" s="34" t="s">
        <v>200</v>
      </c>
      <c r="X34" s="34"/>
      <c r="Y34" s="34"/>
      <c r="Z34" s="34"/>
      <c r="AA34" s="34"/>
      <c r="AB34" s="34"/>
    </row>
    <row r="35" spans="1:28">
      <c r="A35" s="34">
        <v>1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</row>
    <row r="36" spans="1:28">
      <c r="A36" s="34">
        <v>2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</row>
    <row r="37" spans="1:28">
      <c r="A37" s="34">
        <v>3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</row>
    <row r="38" spans="1:28">
      <c r="A38" s="34">
        <v>4</v>
      </c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</row>
    <row r="39" spans="1:28">
      <c r="A39" s="34">
        <v>5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</row>
    <row r="40" spans="1:28">
      <c r="A40" s="34">
        <v>6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</row>
    <row r="41" spans="1:28">
      <c r="A41" s="34">
        <v>7</v>
      </c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</row>
    <row r="42" spans="1:28">
      <c r="A42" s="34">
        <v>8</v>
      </c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</row>
    <row r="43" spans="1:28">
      <c r="A43" s="34">
        <v>9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</row>
    <row r="44" spans="1:28">
      <c r="A44" s="34">
        <v>10</v>
      </c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</row>
    <row r="45" spans="1:28">
      <c r="A45" s="34">
        <v>11</v>
      </c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</row>
    <row r="46" spans="1:28">
      <c r="A46" s="34">
        <v>12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</row>
    <row r="47" spans="1:28">
      <c r="A47" s="34">
        <v>13</v>
      </c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</row>
    <row r="48" spans="1:28">
      <c r="A48" s="34">
        <v>14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</row>
    <row r="49" spans="1:28">
      <c r="A49" s="34">
        <v>15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</row>
    <row r="50" spans="1:28">
      <c r="A50" s="34">
        <v>16</v>
      </c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</row>
    <row r="51" spans="1:28">
      <c r="A51" s="34">
        <v>17</v>
      </c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</row>
    <row r="52" spans="1:28">
      <c r="A52" s="34">
        <v>18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</row>
    <row r="53" spans="1:28">
      <c r="A53" s="34">
        <v>19</v>
      </c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</row>
    <row r="54" spans="1:28">
      <c r="A54" s="34">
        <v>20</v>
      </c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</row>
    <row r="55" spans="1:28">
      <c r="A55" s="34">
        <v>21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</row>
    <row r="56" spans="1:28">
      <c r="A56" s="34">
        <v>22</v>
      </c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</row>
    <row r="57" spans="1:28">
      <c r="A57" s="34">
        <v>22</v>
      </c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</row>
    <row r="58" spans="1:28">
      <c r="A58" s="34">
        <v>23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</row>
  </sheetData>
  <mergeCells count="9">
    <mergeCell ref="A4:A5"/>
    <mergeCell ref="R4:AB4"/>
    <mergeCell ref="B32:L32"/>
    <mergeCell ref="M32:W32"/>
    <mergeCell ref="A32:A33"/>
    <mergeCell ref="D4:E4"/>
    <mergeCell ref="F4:Q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32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전력설비_운영현황</vt:lpstr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래미안개포루체하임 일원동</cp:lastModifiedBy>
  <cp:lastPrinted>2026-05-21T04:05:03Z</cp:lastPrinted>
  <dcterms:created xsi:type="dcterms:W3CDTF">2026-05-21T01:18:20Z</dcterms:created>
  <dcterms:modified xsi:type="dcterms:W3CDTF">2026-05-21T08:44:02Z</dcterms:modified>
</cp:coreProperties>
</file>