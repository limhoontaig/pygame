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game\pygame\elec_room_project\"/>
    </mc:Choice>
  </mc:AlternateContent>
  <xr:revisionPtr revIDLastSave="0" documentId="13_ncr:1_{A33918B2-EA72-435F-BCDF-D4855CED4282}" xr6:coauthVersionLast="47" xr6:coauthVersionMax="47" xr10:uidLastSave="{00000000-0000-0000-0000-000000000000}"/>
  <bookViews>
    <workbookView xWindow="1980" yWindow="1785" windowWidth="21600" windowHeight="13590" xr2:uid="{943AB7D1-EB27-49C3-9C36-555299583416}"/>
  </bookViews>
  <sheets>
    <sheet name="전력설비_운전현황" sheetId="4" r:id="rId1"/>
    <sheet name="상세내역" sheetId="3" r:id="rId2"/>
  </sheets>
  <definedNames>
    <definedName name="_xlnm.Print_Area" localSheetId="0">전력설비_운전현황!$A$1:$J$48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4" l="1"/>
  <c r="C32" i="4"/>
  <c r="J36" i="4"/>
  <c r="I36" i="4"/>
  <c r="H36" i="4"/>
  <c r="G22" i="4"/>
  <c r="G21" i="4"/>
  <c r="J30" i="4"/>
  <c r="J31" i="4" s="1"/>
  <c r="I30" i="4"/>
  <c r="I31" i="4" s="1"/>
  <c r="H30" i="4"/>
  <c r="H31" i="4" s="1"/>
  <c r="G30" i="4"/>
  <c r="G31" i="4" s="1"/>
  <c r="F30" i="4"/>
  <c r="F31" i="4" s="1"/>
  <c r="E30" i="4"/>
  <c r="E31" i="4" s="1"/>
  <c r="D30" i="4"/>
  <c r="D31" i="4" s="1"/>
  <c r="C30" i="4"/>
  <c r="J55" i="4"/>
  <c r="J57" i="4" s="1"/>
  <c r="J32" i="4" s="1"/>
  <c r="I55" i="4"/>
  <c r="I57" i="4" s="1"/>
  <c r="I32" i="4" s="1"/>
  <c r="H55" i="4"/>
  <c r="H57" i="4" s="1"/>
  <c r="H32" i="4" s="1"/>
  <c r="G55" i="4"/>
  <c r="G57" i="4" s="1"/>
  <c r="G32" i="4" s="1"/>
  <c r="F55" i="4"/>
  <c r="F57" i="4" s="1"/>
  <c r="F32" i="4" s="1"/>
  <c r="E55" i="4"/>
  <c r="E57" i="4" s="1"/>
  <c r="E32" i="4" s="1"/>
  <c r="C55" i="4"/>
  <c r="C57" i="4" s="1"/>
  <c r="C33" i="4" l="1"/>
  <c r="C31" i="4"/>
  <c r="J18" i="4"/>
  <c r="I18" i="4"/>
  <c r="H18" i="4"/>
  <c r="G18" i="4"/>
  <c r="F18" i="4"/>
  <c r="E18" i="4"/>
</calcChain>
</file>

<file path=xl/sharedStrings.xml><?xml version="1.0" encoding="utf-8"?>
<sst xmlns="http://schemas.openxmlformats.org/spreadsheetml/2006/main" count="338" uniqueCount="270">
  <si>
    <t>실내온도</t>
  </si>
  <si>
    <t xml:space="preserve"> 구    분</t>
  </si>
  <si>
    <t>산 업 용 ( 급수, 정화조 ) / 80배</t>
  </si>
  <si>
    <t>가 로 등 ( LV10 )</t>
  </si>
  <si>
    <t>유 효 전 력
(kW) 4번</t>
  </si>
  <si>
    <t>무 효 전 력
(kVR) 5번</t>
  </si>
  <si>
    <t>유 효 전 력
중간 (13번)</t>
  </si>
  <si>
    <t>유 효 전 력
최대 14번</t>
  </si>
  <si>
    <t>유 효 전 력
경부하 15번</t>
  </si>
  <si>
    <t>유효전력
중간 (13번)</t>
  </si>
  <si>
    <t>유효전력
최대 14번</t>
  </si>
  <si>
    <t>유효전력
경부하 15번</t>
  </si>
  <si>
    <t>금 일 지 침</t>
  </si>
  <si>
    <t>전 일 지침</t>
  </si>
  <si>
    <t>지 침 차 이</t>
  </si>
  <si>
    <t>일 사용량</t>
  </si>
  <si>
    <t>월 누계</t>
  </si>
  <si>
    <t>역    률</t>
  </si>
  <si>
    <t>구분</t>
  </si>
  <si>
    <t>특 이 사 항</t>
  </si>
  <si>
    <t>금일지침</t>
  </si>
  <si>
    <t>전일지침</t>
  </si>
  <si>
    <t>일사용량</t>
  </si>
  <si>
    <t xml:space="preserve"> </t>
  </si>
  <si>
    <t>한 전 메 인 / 2400배</t>
  </si>
  <si>
    <t>전월지침</t>
  </si>
  <si>
    <t>월평균
역률(%)</t>
  </si>
  <si>
    <t>min( "KEP_V_R")</t>
  </si>
  <si>
    <t>min( "KEP_V_S")</t>
  </si>
  <si>
    <t>min( "KEP_V_T")</t>
  </si>
  <si>
    <t>min( "KEP_V_R_S")</t>
  </si>
  <si>
    <t>min( "KEP_V_S_T")</t>
  </si>
  <si>
    <t>min( "KEP_V_T_R")</t>
  </si>
  <si>
    <t>min("KEP_A_R")</t>
  </si>
  <si>
    <t>min("KEP_A_S")</t>
  </si>
  <si>
    <t>min("KEP_A_T")</t>
  </si>
  <si>
    <t>min("KEP_P_kW")</t>
  </si>
  <si>
    <t>max( "Tr1_V_R")</t>
  </si>
  <si>
    <t>min( "Tr1_V_R")</t>
  </si>
  <si>
    <t>max( "Tr1_V_S")</t>
  </si>
  <si>
    <t>min( "Tr1_V_S")</t>
  </si>
  <si>
    <t>max( "Tr1_V_T")</t>
  </si>
  <si>
    <t>min( "Tr1_V_T")</t>
  </si>
  <si>
    <t>max( "Tr1_V_R_S")</t>
  </si>
  <si>
    <t>min( "Tr1_V_R_S")</t>
  </si>
  <si>
    <t>max( "Tr1_V_S_T")</t>
  </si>
  <si>
    <t>min( "Tr1_V_S_T")</t>
  </si>
  <si>
    <t>max( "Tr1_V_T_R")</t>
  </si>
  <si>
    <t>min( "Tr1_V_T_R")</t>
  </si>
  <si>
    <t>max("Tr1_A_R")</t>
  </si>
  <si>
    <t>min("Tr1_A_R")</t>
  </si>
  <si>
    <t>max("Tr1_A_S")</t>
  </si>
  <si>
    <t>min("Tr1_A_S")</t>
  </si>
  <si>
    <t>max("Tr1_A_T")</t>
  </si>
  <si>
    <t>min("Tr1_A_T")</t>
  </si>
  <si>
    <t>max("Tr1_P_kW")</t>
  </si>
  <si>
    <t>min("Tr1_P_kW")</t>
  </si>
  <si>
    <t>max( "Tr2_V_R")</t>
  </si>
  <si>
    <t>min( "Tr2_V_R")</t>
  </si>
  <si>
    <t>max( "Tr2_V_S")</t>
  </si>
  <si>
    <t>min( "Tr2_V_S")</t>
  </si>
  <si>
    <t>max( "Tr2_V_T")</t>
  </si>
  <si>
    <t>min( "Tr2_V_T")</t>
  </si>
  <si>
    <t>max( "Tr2_V_R_S")</t>
  </si>
  <si>
    <t>min( "Tr2_V_R_S")</t>
  </si>
  <si>
    <t>max( "Tr2_V_S_T")</t>
  </si>
  <si>
    <t>min( "Tr2_V_S_T")</t>
  </si>
  <si>
    <t>max( "Tr2_V_T_R")</t>
  </si>
  <si>
    <t>min( "Tr2_V_T_R")</t>
  </si>
  <si>
    <t>max("Tr2_A_R")</t>
  </si>
  <si>
    <t>min("Tr2_A_R")</t>
  </si>
  <si>
    <t>max("Tr2_A_S")</t>
  </si>
  <si>
    <t>min("Tr2_A_S")</t>
  </si>
  <si>
    <t>max("Tr2_A_T")</t>
  </si>
  <si>
    <t>min("Tr2_A_T")</t>
  </si>
  <si>
    <t>max("Tr2_P_kW")</t>
  </si>
  <si>
    <t>min("Tr2_P_kW")</t>
  </si>
  <si>
    <t>max( "Tr3_V_R")</t>
  </si>
  <si>
    <t>min( "Tr3_V_R")</t>
  </si>
  <si>
    <t>max( "Tr3_V_S")</t>
  </si>
  <si>
    <t>min( "Tr3_V_S")</t>
  </si>
  <si>
    <t>max( "Tr3_V_T")</t>
  </si>
  <si>
    <t>min( "Tr3_V_T")</t>
  </si>
  <si>
    <t>max( "Tr3_V_R_S")</t>
  </si>
  <si>
    <t>min( "Tr3_V_R_S")</t>
  </si>
  <si>
    <t>max( "Tr3_V_S_T")</t>
  </si>
  <si>
    <t>min( "Tr3_V_S_T")</t>
  </si>
  <si>
    <t>max( "Tr3_V_T_R")</t>
  </si>
  <si>
    <t>min( "Tr3_V_T_R")</t>
  </si>
  <si>
    <t>max("Tr3_A_R")</t>
  </si>
  <si>
    <t>min("Tr3_A_R")</t>
  </si>
  <si>
    <t>max("Tr3_A_S")</t>
  </si>
  <si>
    <t>min("Tr3_A_S")</t>
  </si>
  <si>
    <t>max("Tr3_A_T")</t>
  </si>
  <si>
    <t>min("Tr3_A_T")</t>
  </si>
  <si>
    <t>max("Tr3_P_kW")</t>
  </si>
  <si>
    <t>min("Tr3_P_kW")</t>
  </si>
  <si>
    <t xml:space="preserve"> "SF운전시간"</t>
  </si>
  <si>
    <t xml:space="preserve"> "EF운전시간"</t>
  </si>
  <si>
    <t xml:space="preserve">  "KEP_A_R"</t>
  </si>
  <si>
    <t xml:space="preserve"> "KEP_A_S"</t>
  </si>
  <si>
    <t xml:space="preserve"> "KEP_A_T"</t>
  </si>
  <si>
    <t xml:space="preserve"> "KEP_V_R"</t>
  </si>
  <si>
    <t xml:space="preserve"> "KEP_V_S"</t>
  </si>
  <si>
    <t xml:space="preserve"> "KEP_V_T"</t>
  </si>
  <si>
    <t xml:space="preserve"> "KEP_V_R_S"</t>
  </si>
  <si>
    <t xml:space="preserve"> "KEP_V_S_T"</t>
  </si>
  <si>
    <t xml:space="preserve"> "KEP_V_T_R"</t>
  </si>
  <si>
    <t xml:space="preserve"> "KEP_frequency"</t>
  </si>
  <si>
    <t xml:space="preserve">  "KEP_P_kW"</t>
  </si>
  <si>
    <t xml:space="preserve"> "KEP_P_kWh"</t>
  </si>
  <si>
    <t xml:space="preserve">  "Tr1_A_R"</t>
  </si>
  <si>
    <t xml:space="preserve"> "Tr1_A_S"</t>
  </si>
  <si>
    <t xml:space="preserve"> "Tr1_A_T"</t>
  </si>
  <si>
    <t xml:space="preserve"> "Tr1_V_R"</t>
  </si>
  <si>
    <t xml:space="preserve"> "Tr1_V_S"</t>
  </si>
  <si>
    <t xml:space="preserve"> "Tr1_V_T"</t>
  </si>
  <si>
    <t xml:space="preserve"> "Tr1_V_R_S"</t>
  </si>
  <si>
    <t xml:space="preserve"> "Tr1_V_S_T"</t>
  </si>
  <si>
    <t xml:space="preserve"> "Tr1_V_T_R"</t>
  </si>
  <si>
    <t xml:space="preserve"> "Tr1_P_kW"</t>
  </si>
  <si>
    <t xml:space="preserve"> "Tr1_Temp"</t>
  </si>
  <si>
    <t xml:space="preserve"> "Tr2_A_R"</t>
  </si>
  <si>
    <t xml:space="preserve"> "Tr2_A_S"</t>
  </si>
  <si>
    <t xml:space="preserve"> "Tr2_A_T"</t>
  </si>
  <si>
    <t xml:space="preserve"> "Tr2_V_R"</t>
  </si>
  <si>
    <t xml:space="preserve"> "Tr2_V_S"</t>
  </si>
  <si>
    <t xml:space="preserve"> "Tr2_V_T"</t>
  </si>
  <si>
    <t xml:space="preserve"> "Tr2_V_R_S"</t>
  </si>
  <si>
    <t xml:space="preserve"> "Tr2_V_S_T"</t>
  </si>
  <si>
    <t xml:space="preserve"> "Tr2_V_T_R"</t>
  </si>
  <si>
    <t xml:space="preserve"> "Tr2_P_kW"</t>
  </si>
  <si>
    <t xml:space="preserve"> "Tr2_Temp"</t>
  </si>
  <si>
    <t xml:space="preserve"> "Tr3_A_R"</t>
  </si>
  <si>
    <t xml:space="preserve"> "Tr3_A_S"</t>
  </si>
  <si>
    <t xml:space="preserve"> "Tr3_A_T"</t>
  </si>
  <si>
    <t xml:space="preserve"> "Tr3_V_R"</t>
  </si>
  <si>
    <t xml:space="preserve"> "Tr3_V_S"</t>
  </si>
  <si>
    <t xml:space="preserve"> "Tr3_V_T"</t>
  </si>
  <si>
    <t xml:space="preserve"> "Tr3_V_R_S"</t>
  </si>
  <si>
    <t xml:space="preserve"> "Tr3_V_S_T"</t>
  </si>
  <si>
    <t xml:space="preserve"> "Tr3_V_T_R"</t>
  </si>
  <si>
    <t xml:space="preserve"> "Tr3_P_kW"</t>
  </si>
  <si>
    <t xml:space="preserve"> "Tr3_Temp"</t>
  </si>
  <si>
    <t>별도 첨부 : 래미안개포루체하임아파트 전력설비 운영 상세 자료</t>
  </si>
  <si>
    <t xml:space="preserve">일자 : </t>
  </si>
  <si>
    <t>시간</t>
  </si>
  <si>
    <t>외기온도</t>
  </si>
  <si>
    <t>환기설비 운전시간</t>
  </si>
  <si>
    <t>한전전원 품질(전압, 전류, 주파수, 전력 등)</t>
  </si>
  <si>
    <t>변압기 1 운전현황</t>
  </si>
  <si>
    <t>급기휀</t>
  </si>
  <si>
    <t>배기휀</t>
  </si>
  <si>
    <t>R상 전류</t>
  </si>
  <si>
    <t>S상 전류</t>
  </si>
  <si>
    <t>T상 전류</t>
  </si>
  <si>
    <t>R상 전압</t>
  </si>
  <si>
    <t>S상 전압</t>
  </si>
  <si>
    <t>T상 전압</t>
  </si>
  <si>
    <t>R-S 전압</t>
  </si>
  <si>
    <t>S-T 전압</t>
  </si>
  <si>
    <t>T-R 전압</t>
  </si>
  <si>
    <t>주파수</t>
  </si>
  <si>
    <t>전력</t>
  </si>
  <si>
    <t>누적 전력량</t>
  </si>
  <si>
    <t>온도</t>
  </si>
  <si>
    <t>"실내온도"</t>
  </si>
  <si>
    <t>"외기온도"</t>
  </si>
  <si>
    <t>변압기 2 운전현황</t>
  </si>
  <si>
    <t>변압기 3 운전현황</t>
  </si>
  <si>
    <t>래미안개포루체하임아파트 전기설비 운영일지</t>
  </si>
  <si>
    <t xml:space="preserve">일시 : 2026년 05월 21일 </t>
  </si>
  <si>
    <t xml:space="preserve">날씨 : </t>
  </si>
  <si>
    <t xml:space="preserve">담당자 : </t>
  </si>
  <si>
    <t>1. 전력설비 운영 현황 분석자료</t>
  </si>
  <si>
    <t>한전 (kV, A)</t>
  </si>
  <si>
    <t>변압기1 (V, A)</t>
  </si>
  <si>
    <t>변압기2 (V, A)</t>
  </si>
  <si>
    <t>변압기3 (V, A)</t>
  </si>
  <si>
    <t>최고값</t>
  </si>
  <si>
    <t>최저값</t>
  </si>
  <si>
    <t>상전압</t>
  </si>
  <si>
    <t>R</t>
  </si>
  <si>
    <t>max( "KEP_V_R")</t>
  </si>
  <si>
    <t>S</t>
  </si>
  <si>
    <t>max( "KEP_V_S")</t>
  </si>
  <si>
    <t>T</t>
  </si>
  <si>
    <t>max( "KEP_V_T")</t>
  </si>
  <si>
    <t>선간전압</t>
  </si>
  <si>
    <t>R-S</t>
  </si>
  <si>
    <t>max( "KEP_V_R_S")</t>
  </si>
  <si>
    <t>S-T</t>
  </si>
  <si>
    <t>max( "KEP_V_S_T")</t>
  </si>
  <si>
    <t>T-R</t>
  </si>
  <si>
    <t>max( "KEP_V_T_R")</t>
  </si>
  <si>
    <t>상전류</t>
  </si>
  <si>
    <t>max("KEP_A_R")</t>
  </si>
  <si>
    <t>max("KEP_A_S")</t>
  </si>
  <si>
    <t>max("KEP_A_T")</t>
  </si>
  <si>
    <t>(kW)</t>
  </si>
  <si>
    <t>max("KEP_P_kW")</t>
  </si>
  <si>
    <t>변압기 온도</t>
  </si>
  <si>
    <t>max("Tr1_Temp")</t>
  </si>
  <si>
    <t>min("Tr1_Temp")</t>
  </si>
  <si>
    <t>max("Tr2_Temp")</t>
  </si>
  <si>
    <t>min("Tr2_Temp")</t>
  </si>
  <si>
    <t>max("Tr3_Temp")</t>
  </si>
  <si>
    <t>min("Tr3_Temp")</t>
  </si>
  <si>
    <t>2. 사용 전력량 현황</t>
  </si>
  <si>
    <t>전력량 (kWh)</t>
  </si>
  <si>
    <t>시작 전력량</t>
  </si>
  <si>
    <t>마지막 전력량</t>
  </si>
  <si>
    <t>일일사용 전력량</t>
  </si>
  <si>
    <t>일간 전력량</t>
  </si>
  <si>
    <t>max("KEP_P_kWh")</t>
  </si>
  <si>
    <t>월간전력량</t>
  </si>
  <si>
    <t>3. 전력량계 적산현황</t>
  </si>
  <si>
    <t>지열 1
(3동B1좌측)</t>
  </si>
  <si>
    <t>지열 2
(1동B2펌프실)</t>
  </si>
  <si>
    <t>지열 3
(2단지통로끝)</t>
  </si>
  <si>
    <t>유 효 전 력
(kW) 4번</t>
    <phoneticPr fontId="1" type="noConversion"/>
  </si>
  <si>
    <t>시설대리</t>
    <phoneticPr fontId="1" type="noConversion"/>
  </si>
  <si>
    <t>관리과장</t>
    <phoneticPr fontId="1" type="noConversion"/>
  </si>
  <si>
    <t>소    장</t>
    <phoneticPr fontId="1" type="noConversion"/>
  </si>
  <si>
    <t>min("KEP_P_kWh")</t>
    <phoneticPr fontId="1" type="noConversion"/>
  </si>
  <si>
    <t>변압기 부하율</t>
    <phoneticPr fontId="1" type="noConversion"/>
  </si>
  <si>
    <t>4. 전력설비 점검 현황 및 조치 사항</t>
    <phoneticPr fontId="1" type="noConversion"/>
  </si>
  <si>
    <t>점 검 사 항</t>
  </si>
  <si>
    <t>결 과</t>
  </si>
  <si>
    <t>비     고</t>
    <phoneticPr fontId="1" type="noConversion"/>
  </si>
  <si>
    <t xml:space="preserve">기타 </t>
    <phoneticPr fontId="1" type="noConversion"/>
  </si>
  <si>
    <t>1. VCB, ACB, MCCB 등 차단기 이상 유무</t>
  </si>
  <si>
    <t>ㅇ</t>
  </si>
  <si>
    <t xml:space="preserve">2. 이상전압 및 누전(LED경보)되는 곳은 없는가 </t>
  </si>
  <si>
    <t>3. MOF실 내외 결선 접촉상태</t>
  </si>
  <si>
    <t>4. 분전반 개폐기의 개폐시 과열상태</t>
  </si>
  <si>
    <t>5.큐비클내 케이블 접속개소 열화상태</t>
    <phoneticPr fontId="13" type="noConversion"/>
  </si>
  <si>
    <t>6. 발전기 계기 지시상태</t>
  </si>
  <si>
    <t>7. 발전기의 라지에터 냉각수 상태</t>
  </si>
  <si>
    <t>8. 발전기의 엔지오일 등 상태</t>
    <phoneticPr fontId="13" type="noConversion"/>
  </si>
  <si>
    <t>9. 청소 상태는 깨끗한가</t>
    <phoneticPr fontId="13" type="noConversion"/>
  </si>
  <si>
    <t>start("KEP_P_kWh")</t>
    <phoneticPr fontId="1" type="noConversion"/>
  </si>
  <si>
    <t>end("KEP_P_kWh")</t>
    <phoneticPr fontId="1" type="noConversion"/>
  </si>
  <si>
    <t>전 월 지 침</t>
    <phoneticPr fontId="1" type="noConversion"/>
  </si>
  <si>
    <t>전월("main_active")</t>
    <phoneticPr fontId="1" type="noConversion"/>
  </si>
  <si>
    <t>전월("main_reactive")</t>
    <phoneticPr fontId="1" type="noConversion"/>
  </si>
  <si>
    <t>전월("ind_mid")</t>
    <phoneticPr fontId="1" type="noConversion"/>
  </si>
  <si>
    <t>전월("ind_max")</t>
    <phoneticPr fontId="1" type="noConversion"/>
  </si>
  <si>
    <t>전월("ind_light")</t>
    <phoneticPr fontId="1" type="noConversion"/>
  </si>
  <si>
    <t>전월("street_mid")</t>
    <phoneticPr fontId="1" type="noConversion"/>
  </si>
  <si>
    <t>전월("street_max")</t>
    <phoneticPr fontId="1" type="noConversion"/>
  </si>
  <si>
    <t>전월("street_light")</t>
    <phoneticPr fontId="1" type="noConversion"/>
  </si>
  <si>
    <t>전일("main_active")</t>
  </si>
  <si>
    <t>전일("main_reactive")</t>
  </si>
  <si>
    <t>전일("ind_mid")</t>
  </si>
  <si>
    <t>전일("ind_max")</t>
  </si>
  <si>
    <t>전일("ind_light")</t>
  </si>
  <si>
    <t>전일("street_mid")</t>
  </si>
  <si>
    <t>전일("street_max")</t>
  </si>
  <si>
    <t>전일("street_light")</t>
  </si>
  <si>
    <t>금일("main_active")</t>
  </si>
  <si>
    <t>금일("main_reactive")</t>
  </si>
  <si>
    <t>금일("ind_mid")</t>
  </si>
  <si>
    <t>금일("ind_max")</t>
  </si>
  <si>
    <t>금일("ind_light")</t>
  </si>
  <si>
    <t>금일("street_mid")</t>
  </si>
  <si>
    <t>금일("street_max")</t>
  </si>
  <si>
    <t>금일("street_light")</t>
  </si>
  <si>
    <t>금일("geo_1")</t>
    <phoneticPr fontId="1" type="noConversion"/>
  </si>
  <si>
    <t>전일("geo_1")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</si>
</sst>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9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0" xfId="0" applyAlignment="1"/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14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10" xfId="0" applyFont="1" applyBorder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/>
    <xf numFmtId="0" fontId="9" fillId="0" borderId="18" xfId="0" applyFont="1" applyBorder="1" applyAlignment="1"/>
    <xf numFmtId="0" fontId="9" fillId="0" borderId="19" xfId="0" applyFont="1" applyBorder="1" applyAlignment="1"/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4" fillId="0" borderId="12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8" fillId="0" borderId="21" xfId="0" applyFont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0E22-B2AD-4E48-8A7C-927ABD1A16FA}">
  <sheetPr>
    <pageSetUpPr fitToPage="1"/>
  </sheetPr>
  <dimension ref="A1:Q58"/>
  <sheetViews>
    <sheetView tabSelected="1" topLeftCell="A28" workbookViewId="0">
      <selection activeCell="J36" sqref="J36"/>
    </sheetView>
  </sheetViews>
  <sheetFormatPr defaultRowHeight="16.5" x14ac:dyDescent="0.3"/>
  <cols>
    <col min="1" max="1" width="9.125" customWidth="1"/>
    <col min="2" max="2" width="9.375" customWidth="1"/>
    <col min="3" max="10" width="16.25" customWidth="1"/>
    <col min="11" max="11" width="22.25" bestFit="1" customWidth="1"/>
  </cols>
  <sheetData>
    <row r="1" spans="1:10" ht="23.45" customHeight="1" x14ac:dyDescent="0.3">
      <c r="H1" s="4" t="s">
        <v>221</v>
      </c>
      <c r="I1" s="5" t="s">
        <v>222</v>
      </c>
      <c r="J1" s="6" t="s">
        <v>223</v>
      </c>
    </row>
    <row r="2" spans="1:10" ht="65.45" customHeight="1" thickBot="1" x14ac:dyDescent="0.35">
      <c r="A2" s="72" t="s">
        <v>170</v>
      </c>
      <c r="B2" s="72"/>
      <c r="C2" s="72"/>
      <c r="D2" s="72"/>
      <c r="E2" s="72"/>
      <c r="F2" s="72"/>
      <c r="G2" s="72"/>
      <c r="H2" s="7"/>
      <c r="I2" s="8"/>
      <c r="J2" s="9"/>
    </row>
    <row r="3" spans="1:10" ht="25.9" customHeight="1" x14ac:dyDescent="0.3">
      <c r="A3" s="10" t="s">
        <v>171</v>
      </c>
      <c r="B3" s="11"/>
      <c r="C3" s="11"/>
      <c r="D3" s="10" t="s">
        <v>172</v>
      </c>
      <c r="E3" s="10" t="s">
        <v>173</v>
      </c>
    </row>
    <row r="4" spans="1:10" ht="35.450000000000003" customHeight="1" x14ac:dyDescent="0.3">
      <c r="A4" s="2" t="s">
        <v>174</v>
      </c>
    </row>
    <row r="5" spans="1:10" ht="28.5" customHeight="1" x14ac:dyDescent="0.3">
      <c r="A5" s="73" t="s">
        <v>18</v>
      </c>
      <c r="B5" s="74"/>
      <c r="C5" s="73" t="s">
        <v>175</v>
      </c>
      <c r="D5" s="73"/>
      <c r="E5" s="73" t="s">
        <v>176</v>
      </c>
      <c r="F5" s="73"/>
      <c r="G5" s="73" t="s">
        <v>177</v>
      </c>
      <c r="H5" s="73"/>
      <c r="I5" s="73" t="s">
        <v>178</v>
      </c>
      <c r="J5" s="73"/>
    </row>
    <row r="6" spans="1:10" ht="28.5" customHeight="1" x14ac:dyDescent="0.3">
      <c r="A6" s="75"/>
      <c r="B6" s="76"/>
      <c r="C6" s="12" t="s">
        <v>179</v>
      </c>
      <c r="D6" s="12" t="s">
        <v>180</v>
      </c>
      <c r="E6" s="12" t="s">
        <v>179</v>
      </c>
      <c r="F6" s="12" t="s">
        <v>180</v>
      </c>
      <c r="G6" s="12" t="s">
        <v>179</v>
      </c>
      <c r="H6" s="12" t="s">
        <v>180</v>
      </c>
      <c r="I6" s="12" t="s">
        <v>179</v>
      </c>
      <c r="J6" s="12" t="s">
        <v>180</v>
      </c>
    </row>
    <row r="7" spans="1:10" ht="28.5" customHeight="1" x14ac:dyDescent="0.3">
      <c r="A7" s="73" t="s">
        <v>181</v>
      </c>
      <c r="B7" s="12" t="s">
        <v>182</v>
      </c>
      <c r="C7" s="121" t="s">
        <v>183</v>
      </c>
      <c r="D7" s="121" t="s">
        <v>27</v>
      </c>
      <c r="E7" s="121" t="s">
        <v>37</v>
      </c>
      <c r="F7" s="121" t="s">
        <v>38</v>
      </c>
      <c r="G7" s="121" t="s">
        <v>57</v>
      </c>
      <c r="H7" s="121" t="s">
        <v>58</v>
      </c>
      <c r="I7" s="121" t="s">
        <v>77</v>
      </c>
      <c r="J7" s="121" t="s">
        <v>78</v>
      </c>
    </row>
    <row r="8" spans="1:10" ht="28.5" customHeight="1" x14ac:dyDescent="0.3">
      <c r="A8" s="73"/>
      <c r="B8" s="12" t="s">
        <v>184</v>
      </c>
      <c r="C8" s="121" t="s">
        <v>185</v>
      </c>
      <c r="D8" s="121" t="s">
        <v>28</v>
      </c>
      <c r="E8" s="121" t="s">
        <v>39</v>
      </c>
      <c r="F8" s="121" t="s">
        <v>40</v>
      </c>
      <c r="G8" s="121" t="s">
        <v>59</v>
      </c>
      <c r="H8" s="121" t="s">
        <v>60</v>
      </c>
      <c r="I8" s="121" t="s">
        <v>79</v>
      </c>
      <c r="J8" s="121" t="s">
        <v>80</v>
      </c>
    </row>
    <row r="9" spans="1:10" ht="28.5" customHeight="1" x14ac:dyDescent="0.3">
      <c r="A9" s="73"/>
      <c r="B9" s="12" t="s">
        <v>186</v>
      </c>
      <c r="C9" s="121" t="s">
        <v>187</v>
      </c>
      <c r="D9" s="121" t="s">
        <v>29</v>
      </c>
      <c r="E9" s="121" t="s">
        <v>41</v>
      </c>
      <c r="F9" s="121" t="s">
        <v>42</v>
      </c>
      <c r="G9" s="121" t="s">
        <v>61</v>
      </c>
      <c r="H9" s="121" t="s">
        <v>62</v>
      </c>
      <c r="I9" s="121" t="s">
        <v>81</v>
      </c>
      <c r="J9" s="121" t="s">
        <v>82</v>
      </c>
    </row>
    <row r="10" spans="1:10" ht="28.5" customHeight="1" x14ac:dyDescent="0.3">
      <c r="A10" s="73" t="s">
        <v>188</v>
      </c>
      <c r="B10" s="12" t="s">
        <v>189</v>
      </c>
      <c r="C10" s="121" t="s">
        <v>190</v>
      </c>
      <c r="D10" s="121" t="s">
        <v>30</v>
      </c>
      <c r="E10" s="121" t="s">
        <v>43</v>
      </c>
      <c r="F10" s="121" t="s">
        <v>44</v>
      </c>
      <c r="G10" s="121" t="s">
        <v>63</v>
      </c>
      <c r="H10" s="121" t="s">
        <v>64</v>
      </c>
      <c r="I10" s="121" t="s">
        <v>83</v>
      </c>
      <c r="J10" s="121" t="s">
        <v>84</v>
      </c>
    </row>
    <row r="11" spans="1:10" ht="28.5" customHeight="1" x14ac:dyDescent="0.3">
      <c r="A11" s="73"/>
      <c r="B11" s="12" t="s">
        <v>191</v>
      </c>
      <c r="C11" s="121" t="s">
        <v>192</v>
      </c>
      <c r="D11" s="121" t="s">
        <v>31</v>
      </c>
      <c r="E11" s="121" t="s">
        <v>45</v>
      </c>
      <c r="F11" s="121" t="s">
        <v>46</v>
      </c>
      <c r="G11" s="121" t="s">
        <v>65</v>
      </c>
      <c r="H11" s="121" t="s">
        <v>66</v>
      </c>
      <c r="I11" s="121" t="s">
        <v>85</v>
      </c>
      <c r="J11" s="121" t="s">
        <v>86</v>
      </c>
    </row>
    <row r="12" spans="1:10" ht="28.5" customHeight="1" x14ac:dyDescent="0.3">
      <c r="A12" s="73"/>
      <c r="B12" s="12" t="s">
        <v>193</v>
      </c>
      <c r="C12" s="121" t="s">
        <v>194</v>
      </c>
      <c r="D12" s="121" t="s">
        <v>32</v>
      </c>
      <c r="E12" s="121" t="s">
        <v>47</v>
      </c>
      <c r="F12" s="121" t="s">
        <v>48</v>
      </c>
      <c r="G12" s="121" t="s">
        <v>67</v>
      </c>
      <c r="H12" s="121" t="s">
        <v>68</v>
      </c>
      <c r="I12" s="121" t="s">
        <v>87</v>
      </c>
      <c r="J12" s="121" t="s">
        <v>88</v>
      </c>
    </row>
    <row r="13" spans="1:10" ht="28.5" customHeight="1" x14ac:dyDescent="0.3">
      <c r="A13" s="73" t="s">
        <v>195</v>
      </c>
      <c r="B13" s="12" t="s">
        <v>182</v>
      </c>
      <c r="C13" s="121" t="s">
        <v>196</v>
      </c>
      <c r="D13" s="121" t="s">
        <v>33</v>
      </c>
      <c r="E13" s="121" t="s">
        <v>49</v>
      </c>
      <c r="F13" s="121" t="s">
        <v>50</v>
      </c>
      <c r="G13" s="121" t="s">
        <v>69</v>
      </c>
      <c r="H13" s="121" t="s">
        <v>70</v>
      </c>
      <c r="I13" s="121" t="s">
        <v>89</v>
      </c>
      <c r="J13" s="121" t="s">
        <v>90</v>
      </c>
    </row>
    <row r="14" spans="1:10" ht="28.5" customHeight="1" x14ac:dyDescent="0.3">
      <c r="A14" s="73"/>
      <c r="B14" s="12" t="s">
        <v>184</v>
      </c>
      <c r="C14" s="121" t="s">
        <v>197</v>
      </c>
      <c r="D14" s="121" t="s">
        <v>34</v>
      </c>
      <c r="E14" s="121" t="s">
        <v>51</v>
      </c>
      <c r="F14" s="121" t="s">
        <v>52</v>
      </c>
      <c r="G14" s="121" t="s">
        <v>71</v>
      </c>
      <c r="H14" s="121" t="s">
        <v>72</v>
      </c>
      <c r="I14" s="121" t="s">
        <v>91</v>
      </c>
      <c r="J14" s="121" t="s">
        <v>92</v>
      </c>
    </row>
    <row r="15" spans="1:10" ht="28.5" customHeight="1" x14ac:dyDescent="0.3">
      <c r="A15" s="73"/>
      <c r="B15" s="12" t="s">
        <v>186</v>
      </c>
      <c r="C15" s="121" t="s">
        <v>198</v>
      </c>
      <c r="D15" s="121" t="s">
        <v>35</v>
      </c>
      <c r="E15" s="121" t="s">
        <v>53</v>
      </c>
      <c r="F15" s="121" t="s">
        <v>54</v>
      </c>
      <c r="G15" s="121" t="s">
        <v>73</v>
      </c>
      <c r="H15" s="121" t="s">
        <v>74</v>
      </c>
      <c r="I15" s="121" t="s">
        <v>93</v>
      </c>
      <c r="J15" s="121" t="s">
        <v>94</v>
      </c>
    </row>
    <row r="16" spans="1:10" ht="28.5" customHeight="1" x14ac:dyDescent="0.3">
      <c r="A16" s="12" t="s">
        <v>163</v>
      </c>
      <c r="B16" s="12" t="s">
        <v>199</v>
      </c>
      <c r="C16" s="121" t="s">
        <v>200</v>
      </c>
      <c r="D16" s="121" t="s">
        <v>36</v>
      </c>
      <c r="E16" s="121" t="s">
        <v>55</v>
      </c>
      <c r="F16" s="121" t="s">
        <v>56</v>
      </c>
      <c r="G16" s="121" t="s">
        <v>75</v>
      </c>
      <c r="H16" s="121" t="s">
        <v>76</v>
      </c>
      <c r="I16" s="121" t="s">
        <v>95</v>
      </c>
      <c r="J16" s="121" t="s">
        <v>96</v>
      </c>
    </row>
    <row r="17" spans="1:10" ht="28.5" customHeight="1" x14ac:dyDescent="0.3">
      <c r="A17" s="83" t="s">
        <v>201</v>
      </c>
      <c r="B17" s="84"/>
      <c r="C17" s="121"/>
      <c r="D17" s="121"/>
      <c r="E17" s="121" t="s">
        <v>202</v>
      </c>
      <c r="F17" s="121" t="s">
        <v>203</v>
      </c>
      <c r="G17" s="121" t="s">
        <v>204</v>
      </c>
      <c r="H17" s="121" t="s">
        <v>205</v>
      </c>
      <c r="I17" s="121" t="s">
        <v>206</v>
      </c>
      <c r="J17" s="121" t="s">
        <v>207</v>
      </c>
    </row>
    <row r="18" spans="1:10" ht="28.5" customHeight="1" x14ac:dyDescent="0.3">
      <c r="A18" s="103" t="s">
        <v>225</v>
      </c>
      <c r="B18" s="103"/>
      <c r="C18" s="121"/>
      <c r="D18" s="121"/>
      <c r="E18" s="122" t="e">
        <f>+E16/1000</f>
        <v>#VALUE!</v>
      </c>
      <c r="F18" s="123" t="e">
        <f>+F16/1000</f>
        <v>#VALUE!</v>
      </c>
      <c r="G18" s="122" t="e">
        <f>+G16/1250</f>
        <v>#VALUE!</v>
      </c>
      <c r="H18" s="123" t="e">
        <f t="shared" ref="H18:J18" si="0">+H16/1250</f>
        <v>#VALUE!</v>
      </c>
      <c r="I18" s="122" t="e">
        <f t="shared" si="0"/>
        <v>#VALUE!</v>
      </c>
      <c r="J18" s="123" t="e">
        <f t="shared" si="0"/>
        <v>#VALUE!</v>
      </c>
    </row>
    <row r="19" spans="1:10" ht="51" customHeight="1" thickBot="1" x14ac:dyDescent="0.35">
      <c r="A19" s="2" t="s">
        <v>208</v>
      </c>
    </row>
    <row r="20" spans="1:10" ht="35.450000000000003" customHeight="1" x14ac:dyDescent="0.3">
      <c r="A20" s="80" t="s">
        <v>209</v>
      </c>
      <c r="B20" s="78"/>
      <c r="C20" s="78" t="s">
        <v>210</v>
      </c>
      <c r="D20" s="78"/>
      <c r="E20" s="78" t="s">
        <v>211</v>
      </c>
      <c r="F20" s="78"/>
      <c r="G20" s="78" t="s">
        <v>212</v>
      </c>
      <c r="H20" s="79"/>
    </row>
    <row r="21" spans="1:10" ht="35.450000000000003" customHeight="1" x14ac:dyDescent="0.3">
      <c r="A21" s="81" t="s">
        <v>213</v>
      </c>
      <c r="B21" s="73"/>
      <c r="C21" s="124" t="s">
        <v>224</v>
      </c>
      <c r="D21" s="124"/>
      <c r="E21" s="124" t="s">
        <v>214</v>
      </c>
      <c r="F21" s="124"/>
      <c r="G21" s="124" t="e">
        <f>E21-C21</f>
        <v>#VALUE!</v>
      </c>
      <c r="H21" s="125"/>
    </row>
    <row r="22" spans="1:10" ht="35.450000000000003" customHeight="1" thickBot="1" x14ac:dyDescent="0.35">
      <c r="A22" s="82" t="s">
        <v>215</v>
      </c>
      <c r="B22" s="77"/>
      <c r="C22" s="126" t="s">
        <v>241</v>
      </c>
      <c r="D22" s="126"/>
      <c r="E22" s="126" t="s">
        <v>242</v>
      </c>
      <c r="F22" s="126"/>
      <c r="G22" s="127" t="e">
        <f>+E22-C22</f>
        <v>#VALUE!</v>
      </c>
      <c r="H22" s="128"/>
    </row>
    <row r="23" spans="1:10" ht="15.75" customHeight="1" x14ac:dyDescent="0.3"/>
    <row r="24" spans="1:10" ht="48.75" customHeight="1" thickBot="1" x14ac:dyDescent="0.35">
      <c r="A24" s="2" t="s">
        <v>216</v>
      </c>
    </row>
    <row r="25" spans="1:10" ht="35.450000000000003" customHeight="1" x14ac:dyDescent="0.3">
      <c r="A25" s="136" t="s">
        <v>1</v>
      </c>
      <c r="B25" s="134"/>
      <c r="C25" s="134" t="s">
        <v>24</v>
      </c>
      <c r="D25" s="134"/>
      <c r="E25" s="134" t="s">
        <v>2</v>
      </c>
      <c r="F25" s="134"/>
      <c r="G25" s="134"/>
      <c r="H25" s="134" t="s">
        <v>3</v>
      </c>
      <c r="I25" s="134"/>
      <c r="J25" s="135"/>
    </row>
    <row r="26" spans="1:10" ht="35.450000000000003" customHeight="1" thickBot="1" x14ac:dyDescent="0.35">
      <c r="A26" s="132"/>
      <c r="B26" s="133"/>
      <c r="C26" s="138" t="s">
        <v>4</v>
      </c>
      <c r="D26" s="138" t="s">
        <v>5</v>
      </c>
      <c r="E26" s="138" t="s">
        <v>6</v>
      </c>
      <c r="F26" s="138" t="s">
        <v>7</v>
      </c>
      <c r="G26" s="138" t="s">
        <v>8</v>
      </c>
      <c r="H26" s="138" t="s">
        <v>9</v>
      </c>
      <c r="I26" s="138" t="s">
        <v>10</v>
      </c>
      <c r="J26" s="139" t="s">
        <v>11</v>
      </c>
    </row>
    <row r="27" spans="1:10" ht="35.450000000000003" customHeight="1" x14ac:dyDescent="0.3">
      <c r="A27" s="136" t="s">
        <v>243</v>
      </c>
      <c r="B27" s="134"/>
      <c r="C27" s="145" t="s">
        <v>244</v>
      </c>
      <c r="D27" s="145" t="s">
        <v>245</v>
      </c>
      <c r="E27" s="145" t="s">
        <v>246</v>
      </c>
      <c r="F27" s="145" t="s">
        <v>247</v>
      </c>
      <c r="G27" s="145" t="s">
        <v>248</v>
      </c>
      <c r="H27" s="145" t="s">
        <v>249</v>
      </c>
      <c r="I27" s="145" t="s">
        <v>250</v>
      </c>
      <c r="J27" s="146" t="s">
        <v>251</v>
      </c>
    </row>
    <row r="28" spans="1:10" ht="32.25" customHeight="1" x14ac:dyDescent="0.3">
      <c r="A28" s="131" t="s">
        <v>12</v>
      </c>
      <c r="B28" s="124"/>
      <c r="C28" s="121" t="s">
        <v>260</v>
      </c>
      <c r="D28" s="121" t="s">
        <v>261</v>
      </c>
      <c r="E28" s="121" t="s">
        <v>262</v>
      </c>
      <c r="F28" s="121" t="s">
        <v>263</v>
      </c>
      <c r="G28" s="121" t="s">
        <v>264</v>
      </c>
      <c r="H28" s="121" t="s">
        <v>265</v>
      </c>
      <c r="I28" s="121" t="s">
        <v>266</v>
      </c>
      <c r="J28" s="147" t="s">
        <v>267</v>
      </c>
    </row>
    <row r="29" spans="1:10" ht="32.25" customHeight="1" x14ac:dyDescent="0.3">
      <c r="A29" s="131" t="s">
        <v>13</v>
      </c>
      <c r="B29" s="124"/>
      <c r="C29" s="121" t="s">
        <v>252</v>
      </c>
      <c r="D29" s="121" t="s">
        <v>253</v>
      </c>
      <c r="E29" s="121" t="s">
        <v>254</v>
      </c>
      <c r="F29" s="121" t="s">
        <v>255</v>
      </c>
      <c r="G29" s="121" t="s">
        <v>256</v>
      </c>
      <c r="H29" s="121" t="s">
        <v>257</v>
      </c>
      <c r="I29" s="121" t="s">
        <v>258</v>
      </c>
      <c r="J29" s="147" t="s">
        <v>259</v>
      </c>
    </row>
    <row r="30" spans="1:10" ht="32.25" customHeight="1" x14ac:dyDescent="0.3">
      <c r="A30" s="131" t="s">
        <v>14</v>
      </c>
      <c r="B30" s="124"/>
      <c r="C30" s="129" t="e">
        <f>+C28-C29</f>
        <v>#VALUE!</v>
      </c>
      <c r="D30" s="129" t="e">
        <f t="shared" ref="D30:J30" si="1">+D28-D29</f>
        <v>#VALUE!</v>
      </c>
      <c r="E30" s="129" t="e">
        <f t="shared" si="1"/>
        <v>#VALUE!</v>
      </c>
      <c r="F30" s="129" t="e">
        <f t="shared" si="1"/>
        <v>#VALUE!</v>
      </c>
      <c r="G30" s="129" t="e">
        <f t="shared" si="1"/>
        <v>#VALUE!</v>
      </c>
      <c r="H30" s="129" t="e">
        <f t="shared" si="1"/>
        <v>#VALUE!</v>
      </c>
      <c r="I30" s="129" t="e">
        <f t="shared" si="1"/>
        <v>#VALUE!</v>
      </c>
      <c r="J30" s="130" t="e">
        <f t="shared" si="1"/>
        <v>#VALUE!</v>
      </c>
    </row>
    <row r="31" spans="1:10" ht="32.25" customHeight="1" x14ac:dyDescent="0.3">
      <c r="A31" s="131" t="s">
        <v>15</v>
      </c>
      <c r="B31" s="124"/>
      <c r="C31" s="129" t="e">
        <f>+C30*2400</f>
        <v>#VALUE!</v>
      </c>
      <c r="D31" s="129" t="e">
        <f>+D30*2400</f>
        <v>#VALUE!</v>
      </c>
      <c r="E31" s="129" t="e">
        <f>E30*80</f>
        <v>#VALUE!</v>
      </c>
      <c r="F31" s="129" t="e">
        <f t="shared" ref="F31:G31" si="2">F30*80</f>
        <v>#VALUE!</v>
      </c>
      <c r="G31" s="129" t="e">
        <f t="shared" si="2"/>
        <v>#VALUE!</v>
      </c>
      <c r="H31" s="129" t="e">
        <f>+H30</f>
        <v>#VALUE!</v>
      </c>
      <c r="I31" s="129" t="e">
        <f t="shared" ref="I31:J31" si="3">+I30</f>
        <v>#VALUE!</v>
      </c>
      <c r="J31" s="130" t="e">
        <f t="shared" si="3"/>
        <v>#VALUE!</v>
      </c>
    </row>
    <row r="32" spans="1:10" ht="32.25" customHeight="1" x14ac:dyDescent="0.3">
      <c r="A32" s="131" t="s">
        <v>16</v>
      </c>
      <c r="B32" s="124"/>
      <c r="C32" s="129" t="e">
        <f>(C28-C27)*2400</f>
        <v>#VALUE!</v>
      </c>
      <c r="D32" s="129" t="e">
        <f>(D28-D27)*2400</f>
        <v>#VALUE!</v>
      </c>
      <c r="E32" s="129" t="e">
        <f t="shared" ref="D32:J32" si="4">+E57</f>
        <v>#VALUE!</v>
      </c>
      <c r="F32" s="129" t="e">
        <f t="shared" si="4"/>
        <v>#VALUE!</v>
      </c>
      <c r="G32" s="129" t="e">
        <f t="shared" si="4"/>
        <v>#VALUE!</v>
      </c>
      <c r="H32" s="129" t="e">
        <f t="shared" si="4"/>
        <v>#VALUE!</v>
      </c>
      <c r="I32" s="129" t="e">
        <f t="shared" si="4"/>
        <v>#VALUE!</v>
      </c>
      <c r="J32" s="130" t="e">
        <f t="shared" si="4"/>
        <v>#VALUE!</v>
      </c>
    </row>
    <row r="33" spans="1:17" ht="32.25" customHeight="1" thickBot="1" x14ac:dyDescent="0.35">
      <c r="A33" s="137" t="s">
        <v>17</v>
      </c>
      <c r="B33" s="127"/>
      <c r="C33" s="16" t="e">
        <f>C30/(SQRT(C30^2+D30^2*100))</f>
        <v>#VALUE!</v>
      </c>
      <c r="D33" s="144"/>
      <c r="E33" s="144"/>
      <c r="F33" s="144"/>
      <c r="G33" s="16" t="s">
        <v>18</v>
      </c>
      <c r="H33" s="32" t="s">
        <v>217</v>
      </c>
      <c r="I33" s="32" t="s">
        <v>218</v>
      </c>
      <c r="J33" s="33" t="s">
        <v>219</v>
      </c>
    </row>
    <row r="34" spans="1:17" ht="32.25" customHeight="1" thickBot="1" x14ac:dyDescent="0.35">
      <c r="A34" s="140" t="s">
        <v>19</v>
      </c>
      <c r="B34" s="141"/>
      <c r="C34" s="142"/>
      <c r="D34" s="142"/>
      <c r="E34" s="142"/>
      <c r="F34" s="19"/>
      <c r="G34" s="143" t="s">
        <v>20</v>
      </c>
      <c r="H34" s="30" t="s">
        <v>268</v>
      </c>
      <c r="I34" s="30" t="s">
        <v>268</v>
      </c>
      <c r="J34" s="31" t="s">
        <v>268</v>
      </c>
    </row>
    <row r="35" spans="1:17" ht="32.25" customHeight="1" x14ac:dyDescent="0.3">
      <c r="A35" s="18"/>
      <c r="B35" s="28"/>
      <c r="C35" s="28"/>
      <c r="D35" s="28"/>
      <c r="E35" s="28"/>
      <c r="F35" s="19"/>
      <c r="G35" s="14" t="s">
        <v>21</v>
      </c>
      <c r="H35" s="12" t="s">
        <v>269</v>
      </c>
      <c r="I35" s="12" t="s">
        <v>269</v>
      </c>
      <c r="J35" s="15" t="s">
        <v>269</v>
      </c>
    </row>
    <row r="36" spans="1:17" ht="32.25" customHeight="1" thickBot="1" x14ac:dyDescent="0.35">
      <c r="A36" s="20"/>
      <c r="B36" s="21"/>
      <c r="C36" s="21"/>
      <c r="D36" s="21"/>
      <c r="E36" s="21"/>
      <c r="F36" s="22"/>
      <c r="G36" s="29" t="s">
        <v>22</v>
      </c>
      <c r="H36" s="16" t="e">
        <f>+H34-H35</f>
        <v>#VALUE!</v>
      </c>
      <c r="I36" s="16" t="e">
        <f t="shared" ref="I36:J36" si="5">+I34-I35</f>
        <v>#VALUE!</v>
      </c>
      <c r="J36" s="17" t="e">
        <f t="shared" si="5"/>
        <v>#VALUE!</v>
      </c>
    </row>
    <row r="38" spans="1:17" ht="32.25" customHeight="1" thickBot="1" x14ac:dyDescent="0.35">
      <c r="A38" s="2" t="s">
        <v>226</v>
      </c>
      <c r="B38" s="23"/>
      <c r="C38" s="23"/>
      <c r="D38" s="23"/>
      <c r="E38" s="23"/>
      <c r="F38" s="23"/>
      <c r="G38" s="23"/>
      <c r="H38" s="23"/>
      <c r="I38" s="23"/>
      <c r="J38" s="23"/>
    </row>
    <row r="39" spans="1:17" ht="25.5" customHeight="1" thickBot="1" x14ac:dyDescent="0.4">
      <c r="A39" s="86" t="s">
        <v>227</v>
      </c>
      <c r="B39" s="87"/>
      <c r="C39" s="87"/>
      <c r="D39" s="87"/>
      <c r="E39" s="27" t="s">
        <v>228</v>
      </c>
      <c r="F39" s="87" t="s">
        <v>229</v>
      </c>
      <c r="G39" s="87"/>
      <c r="H39" s="88"/>
      <c r="I39" s="89" t="s">
        <v>230</v>
      </c>
      <c r="J39" s="90"/>
      <c r="Q39" t="s">
        <v>23</v>
      </c>
    </row>
    <row r="40" spans="1:17" ht="25.5" customHeight="1" x14ac:dyDescent="0.3">
      <c r="A40" s="91" t="s">
        <v>231</v>
      </c>
      <c r="B40" s="92"/>
      <c r="C40" s="92"/>
      <c r="D40" s="92"/>
      <c r="E40" s="26" t="s">
        <v>232</v>
      </c>
      <c r="F40" s="92"/>
      <c r="G40" s="92"/>
      <c r="H40" s="93"/>
      <c r="I40" s="94"/>
      <c r="J40" s="95"/>
    </row>
    <row r="41" spans="1:17" ht="25.5" customHeight="1" x14ac:dyDescent="0.3">
      <c r="A41" s="100" t="s">
        <v>233</v>
      </c>
      <c r="B41" s="101"/>
      <c r="C41" s="101"/>
      <c r="D41" s="101"/>
      <c r="E41" s="24" t="s">
        <v>232</v>
      </c>
      <c r="F41" s="101"/>
      <c r="G41" s="101"/>
      <c r="H41" s="102"/>
      <c r="I41" s="96"/>
      <c r="J41" s="97"/>
    </row>
    <row r="42" spans="1:17" ht="25.5" customHeight="1" x14ac:dyDescent="0.3">
      <c r="A42" s="100" t="s">
        <v>234</v>
      </c>
      <c r="B42" s="101"/>
      <c r="C42" s="101"/>
      <c r="D42" s="101"/>
      <c r="E42" s="24" t="s">
        <v>232</v>
      </c>
      <c r="F42" s="101"/>
      <c r="G42" s="101"/>
      <c r="H42" s="102"/>
      <c r="I42" s="96"/>
      <c r="J42" s="97"/>
    </row>
    <row r="43" spans="1:17" ht="25.5" customHeight="1" x14ac:dyDescent="0.3">
      <c r="A43" s="100" t="s">
        <v>235</v>
      </c>
      <c r="B43" s="101"/>
      <c r="C43" s="101"/>
      <c r="D43" s="101"/>
      <c r="E43" s="24" t="s">
        <v>232</v>
      </c>
      <c r="F43" s="101"/>
      <c r="G43" s="101"/>
      <c r="H43" s="102"/>
      <c r="I43" s="96"/>
      <c r="J43" s="97"/>
    </row>
    <row r="44" spans="1:17" ht="25.5" customHeight="1" x14ac:dyDescent="0.3">
      <c r="A44" s="100" t="s">
        <v>236</v>
      </c>
      <c r="B44" s="101"/>
      <c r="C44" s="101"/>
      <c r="D44" s="101"/>
      <c r="E44" s="24" t="s">
        <v>232</v>
      </c>
      <c r="F44" s="101"/>
      <c r="G44" s="101"/>
      <c r="H44" s="102"/>
      <c r="I44" s="96"/>
      <c r="J44" s="97"/>
    </row>
    <row r="45" spans="1:17" ht="25.5" customHeight="1" x14ac:dyDescent="0.3">
      <c r="A45" s="100" t="s">
        <v>237</v>
      </c>
      <c r="B45" s="101"/>
      <c r="C45" s="101"/>
      <c r="D45" s="101"/>
      <c r="E45" s="24" t="s">
        <v>232</v>
      </c>
      <c r="F45" s="101"/>
      <c r="G45" s="101"/>
      <c r="H45" s="102"/>
      <c r="I45" s="96"/>
      <c r="J45" s="97"/>
    </row>
    <row r="46" spans="1:17" ht="25.5" customHeight="1" x14ac:dyDescent="0.3">
      <c r="A46" s="100" t="s">
        <v>238</v>
      </c>
      <c r="B46" s="101"/>
      <c r="C46" s="101"/>
      <c r="D46" s="101"/>
      <c r="E46" s="24" t="s">
        <v>232</v>
      </c>
      <c r="F46" s="101"/>
      <c r="G46" s="101"/>
      <c r="H46" s="102"/>
      <c r="I46" s="96"/>
      <c r="J46" s="97"/>
    </row>
    <row r="47" spans="1:17" ht="25.5" customHeight="1" x14ac:dyDescent="0.3">
      <c r="A47" s="100" t="s">
        <v>239</v>
      </c>
      <c r="B47" s="101"/>
      <c r="C47" s="101"/>
      <c r="D47" s="101"/>
      <c r="E47" s="24" t="s">
        <v>232</v>
      </c>
      <c r="F47" s="101"/>
      <c r="G47" s="101"/>
      <c r="H47" s="102"/>
      <c r="I47" s="96"/>
      <c r="J47" s="97"/>
    </row>
    <row r="48" spans="1:17" ht="25.5" customHeight="1" thickBot="1" x14ac:dyDescent="0.35">
      <c r="A48" s="104" t="s">
        <v>240</v>
      </c>
      <c r="B48" s="105"/>
      <c r="C48" s="105"/>
      <c r="D48" s="105"/>
      <c r="E48" s="25" t="s">
        <v>232</v>
      </c>
      <c r="F48" s="105"/>
      <c r="G48" s="105"/>
      <c r="H48" s="106"/>
      <c r="I48" s="98"/>
      <c r="J48" s="99"/>
    </row>
    <row r="52" spans="1:10" ht="17.25" thickBot="1" x14ac:dyDescent="0.35"/>
    <row r="53" spans="1:10" ht="39" customHeight="1" x14ac:dyDescent="0.3">
      <c r="A53" s="63"/>
      <c r="B53" s="64"/>
      <c r="C53" s="63" t="s">
        <v>24</v>
      </c>
      <c r="D53" s="64"/>
      <c r="E53" s="63" t="s">
        <v>2</v>
      </c>
      <c r="F53" s="85"/>
      <c r="G53" s="64"/>
      <c r="H53" s="63" t="s">
        <v>3</v>
      </c>
      <c r="I53" s="85"/>
      <c r="J53" s="64"/>
    </row>
    <row r="54" spans="1:10" ht="39" customHeight="1" thickBot="1" x14ac:dyDescent="0.35">
      <c r="A54" s="65"/>
      <c r="B54" s="66"/>
      <c r="C54" s="57" t="s">
        <v>220</v>
      </c>
      <c r="D54" s="56" t="s">
        <v>5</v>
      </c>
      <c r="E54" s="57" t="s">
        <v>6</v>
      </c>
      <c r="F54" s="55" t="s">
        <v>7</v>
      </c>
      <c r="G54" s="56" t="s">
        <v>8</v>
      </c>
      <c r="H54" s="57" t="s">
        <v>9</v>
      </c>
      <c r="I54" s="55" t="s">
        <v>10</v>
      </c>
      <c r="J54" s="56" t="s">
        <v>11</v>
      </c>
    </row>
    <row r="55" spans="1:10" ht="39" customHeight="1" x14ac:dyDescent="0.3">
      <c r="A55" s="67" t="s">
        <v>20</v>
      </c>
      <c r="B55" s="68"/>
      <c r="C55" s="58" t="str">
        <f>+C28</f>
        <v>금일("main_active")</v>
      </c>
      <c r="D55" s="59">
        <v>0</v>
      </c>
      <c r="E55" s="58" t="str">
        <f t="shared" ref="E55:J55" si="6">+E28</f>
        <v>금일("ind_mid")</v>
      </c>
      <c r="F55" s="54" t="str">
        <f t="shared" si="6"/>
        <v>금일("ind_max")</v>
      </c>
      <c r="G55" s="59" t="str">
        <f t="shared" si="6"/>
        <v>금일("ind_light")</v>
      </c>
      <c r="H55" s="58" t="str">
        <f t="shared" si="6"/>
        <v>금일("street_mid")</v>
      </c>
      <c r="I55" s="54" t="str">
        <f t="shared" si="6"/>
        <v>금일("street_max")</v>
      </c>
      <c r="J55" s="59" t="str">
        <f t="shared" si="6"/>
        <v>금일("street_light")</v>
      </c>
    </row>
    <row r="56" spans="1:10" ht="39" customHeight="1" x14ac:dyDescent="0.3">
      <c r="A56" s="69" t="s">
        <v>25</v>
      </c>
      <c r="B56" s="70"/>
      <c r="C56" s="60">
        <v>1309.8499999999999</v>
      </c>
      <c r="D56" s="61">
        <v>0</v>
      </c>
      <c r="E56" s="60">
        <v>7014.1</v>
      </c>
      <c r="F56" s="62">
        <v>3563.95</v>
      </c>
      <c r="G56" s="61">
        <v>9804.3799999999992</v>
      </c>
      <c r="H56" s="60">
        <v>10305</v>
      </c>
      <c r="I56" s="62">
        <v>1638</v>
      </c>
      <c r="J56" s="61">
        <v>33594</v>
      </c>
    </row>
    <row r="57" spans="1:10" ht="39" customHeight="1" thickBot="1" x14ac:dyDescent="0.35">
      <c r="A57" s="65" t="s">
        <v>16</v>
      </c>
      <c r="B57" s="66"/>
      <c r="C57" s="7" t="e">
        <f>(+C55-C56)*2400</f>
        <v>#VALUE!</v>
      </c>
      <c r="D57" s="9">
        <v>0</v>
      </c>
      <c r="E57" s="7" t="e">
        <f>(+E55-E56)*80</f>
        <v>#VALUE!</v>
      </c>
      <c r="F57" s="8" t="e">
        <f t="shared" ref="F57:G57" si="7">(+F55-F56)*80</f>
        <v>#VALUE!</v>
      </c>
      <c r="G57" s="9" t="e">
        <f t="shared" si="7"/>
        <v>#VALUE!</v>
      </c>
      <c r="H57" s="7" t="e">
        <f>+H55-H56</f>
        <v>#VALUE!</v>
      </c>
      <c r="I57" s="8" t="e">
        <f t="shared" ref="I57:J57" si="8">+I55-I56</f>
        <v>#VALUE!</v>
      </c>
      <c r="J57" s="9" t="e">
        <f t="shared" si="8"/>
        <v>#VALUE!</v>
      </c>
    </row>
    <row r="58" spans="1:10" ht="39" customHeight="1" x14ac:dyDescent="0.3">
      <c r="A58" s="71" t="s">
        <v>26</v>
      </c>
      <c r="B58" s="71"/>
      <c r="C58">
        <v>100</v>
      </c>
    </row>
  </sheetData>
  <mergeCells count="65">
    <mergeCell ref="A27:B27"/>
    <mergeCell ref="A46:D46"/>
    <mergeCell ref="F46:H46"/>
    <mergeCell ref="A47:D47"/>
    <mergeCell ref="F47:H47"/>
    <mergeCell ref="A48:D48"/>
    <mergeCell ref="F48:H48"/>
    <mergeCell ref="F43:H43"/>
    <mergeCell ref="A44:D44"/>
    <mergeCell ref="F44:H44"/>
    <mergeCell ref="A45:D45"/>
    <mergeCell ref="F45:H45"/>
    <mergeCell ref="A32:B32"/>
    <mergeCell ref="A33:B33"/>
    <mergeCell ref="A34:B34"/>
    <mergeCell ref="H25:J25"/>
    <mergeCell ref="I5:J5"/>
    <mergeCell ref="C21:D21"/>
    <mergeCell ref="E21:F21"/>
    <mergeCell ref="C5:D5"/>
    <mergeCell ref="E5:F5"/>
    <mergeCell ref="G5:H5"/>
    <mergeCell ref="A18:B18"/>
    <mergeCell ref="A25:B26"/>
    <mergeCell ref="A28:B28"/>
    <mergeCell ref="A29:B29"/>
    <mergeCell ref="A30:B30"/>
    <mergeCell ref="A31:B31"/>
    <mergeCell ref="C25:D25"/>
    <mergeCell ref="E25:G25"/>
    <mergeCell ref="C53:D53"/>
    <mergeCell ref="E53:G53"/>
    <mergeCell ref="H53:J53"/>
    <mergeCell ref="A39:D39"/>
    <mergeCell ref="F39:H39"/>
    <mergeCell ref="I39:J39"/>
    <mergeCell ref="A40:D40"/>
    <mergeCell ref="F40:H40"/>
    <mergeCell ref="I40:J48"/>
    <mergeCell ref="A41:D41"/>
    <mergeCell ref="F41:H41"/>
    <mergeCell ref="A42:D42"/>
    <mergeCell ref="F42:H42"/>
    <mergeCell ref="A43:D43"/>
    <mergeCell ref="A2:G2"/>
    <mergeCell ref="A5:B6"/>
    <mergeCell ref="C22:D22"/>
    <mergeCell ref="E22:F22"/>
    <mergeCell ref="G21:H21"/>
    <mergeCell ref="G22:H22"/>
    <mergeCell ref="C20:D20"/>
    <mergeCell ref="E20:F20"/>
    <mergeCell ref="G20:H20"/>
    <mergeCell ref="A20:B20"/>
    <mergeCell ref="A21:B21"/>
    <mergeCell ref="A22:B22"/>
    <mergeCell ref="A17:B17"/>
    <mergeCell ref="A7:A9"/>
    <mergeCell ref="A10:A12"/>
    <mergeCell ref="A13:A15"/>
    <mergeCell ref="A53:B54"/>
    <mergeCell ref="A55:B55"/>
    <mergeCell ref="A56:B56"/>
    <mergeCell ref="A57:B57"/>
    <mergeCell ref="A58:B5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C21F-FDDD-4581-BFBF-2D14B5C8D0A7}">
  <sheetPr>
    <pageSetUpPr fitToPage="1"/>
  </sheetPr>
  <dimension ref="A1:AB58"/>
  <sheetViews>
    <sheetView topLeftCell="E44" workbookViewId="0">
      <selection activeCell="N62" sqref="N62"/>
    </sheetView>
  </sheetViews>
  <sheetFormatPr defaultRowHeight="16.5" x14ac:dyDescent="0.3"/>
  <sheetData>
    <row r="1" spans="1:28" x14ac:dyDescent="0.3">
      <c r="A1" t="s">
        <v>144</v>
      </c>
    </row>
    <row r="3" spans="1:28" ht="17.25" thickBot="1" x14ac:dyDescent="0.35">
      <c r="A3" t="s">
        <v>145</v>
      </c>
    </row>
    <row r="4" spans="1:28" x14ac:dyDescent="0.3">
      <c r="A4" s="113" t="s">
        <v>146</v>
      </c>
      <c r="B4" s="117" t="s">
        <v>0</v>
      </c>
      <c r="C4" s="119" t="s">
        <v>147</v>
      </c>
      <c r="D4" s="115" t="s">
        <v>148</v>
      </c>
      <c r="E4" s="116"/>
      <c r="F4" s="107" t="s">
        <v>149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9"/>
      <c r="R4" s="110" t="s">
        <v>150</v>
      </c>
      <c r="S4" s="108"/>
      <c r="T4" s="108"/>
      <c r="U4" s="108"/>
      <c r="V4" s="108"/>
      <c r="W4" s="108"/>
      <c r="X4" s="108"/>
      <c r="Y4" s="108"/>
      <c r="Z4" s="108"/>
      <c r="AA4" s="108"/>
      <c r="AB4" s="109"/>
    </row>
    <row r="5" spans="1:28" ht="17.25" thickBot="1" x14ac:dyDescent="0.35">
      <c r="A5" s="114"/>
      <c r="B5" s="118"/>
      <c r="C5" s="120"/>
      <c r="D5" s="50" t="s">
        <v>151</v>
      </c>
      <c r="E5" s="51" t="s">
        <v>152</v>
      </c>
      <c r="F5" s="50" t="s">
        <v>153</v>
      </c>
      <c r="G5" s="53" t="s">
        <v>154</v>
      </c>
      <c r="H5" s="53" t="s">
        <v>155</v>
      </c>
      <c r="I5" s="53" t="s">
        <v>156</v>
      </c>
      <c r="J5" s="53" t="s">
        <v>157</v>
      </c>
      <c r="K5" s="53" t="s">
        <v>158</v>
      </c>
      <c r="L5" s="53" t="s">
        <v>159</v>
      </c>
      <c r="M5" s="53" t="s">
        <v>160</v>
      </c>
      <c r="N5" s="53" t="s">
        <v>161</v>
      </c>
      <c r="O5" s="53" t="s">
        <v>162</v>
      </c>
      <c r="P5" s="53" t="s">
        <v>163</v>
      </c>
      <c r="Q5" s="51" t="s">
        <v>164</v>
      </c>
      <c r="R5" s="52" t="s">
        <v>153</v>
      </c>
      <c r="S5" s="53" t="s">
        <v>154</v>
      </c>
      <c r="T5" s="53" t="s">
        <v>155</v>
      </c>
      <c r="U5" s="53" t="s">
        <v>156</v>
      </c>
      <c r="V5" s="53" t="s">
        <v>157</v>
      </c>
      <c r="W5" s="53" t="s">
        <v>158</v>
      </c>
      <c r="X5" s="53" t="s">
        <v>159</v>
      </c>
      <c r="Y5" s="53" t="s">
        <v>160</v>
      </c>
      <c r="Z5" s="53" t="s">
        <v>161</v>
      </c>
      <c r="AA5" s="53" t="s">
        <v>163</v>
      </c>
      <c r="AB5" s="51" t="s">
        <v>165</v>
      </c>
    </row>
    <row r="6" spans="1:28" x14ac:dyDescent="0.3">
      <c r="A6" s="45">
        <v>0</v>
      </c>
      <c r="B6" s="46" t="s">
        <v>166</v>
      </c>
      <c r="C6" s="47" t="s">
        <v>167</v>
      </c>
      <c r="D6" s="46" t="s">
        <v>97</v>
      </c>
      <c r="E6" s="47" t="s">
        <v>98</v>
      </c>
      <c r="F6" s="46" t="s">
        <v>99</v>
      </c>
      <c r="G6" s="49" t="s">
        <v>100</v>
      </c>
      <c r="H6" s="49" t="s">
        <v>101</v>
      </c>
      <c r="I6" s="49" t="s">
        <v>102</v>
      </c>
      <c r="J6" s="49" t="s">
        <v>103</v>
      </c>
      <c r="K6" s="49" t="s">
        <v>104</v>
      </c>
      <c r="L6" s="49" t="s">
        <v>105</v>
      </c>
      <c r="M6" s="49" t="s">
        <v>106</v>
      </c>
      <c r="N6" s="49" t="s">
        <v>107</v>
      </c>
      <c r="O6" s="49" t="s">
        <v>108</v>
      </c>
      <c r="P6" s="49" t="s">
        <v>109</v>
      </c>
      <c r="Q6" s="47" t="s">
        <v>110</v>
      </c>
      <c r="R6" s="48" t="s">
        <v>111</v>
      </c>
      <c r="S6" s="49" t="s">
        <v>112</v>
      </c>
      <c r="T6" s="49" t="s">
        <v>113</v>
      </c>
      <c r="U6" s="49" t="s">
        <v>114</v>
      </c>
      <c r="V6" s="49" t="s">
        <v>115</v>
      </c>
      <c r="W6" s="49" t="s">
        <v>116</v>
      </c>
      <c r="X6" s="49" t="s">
        <v>117</v>
      </c>
      <c r="Y6" s="49" t="s">
        <v>118</v>
      </c>
      <c r="Z6" s="49" t="s">
        <v>119</v>
      </c>
      <c r="AA6" s="49" t="s">
        <v>120</v>
      </c>
      <c r="AB6" s="49" t="s">
        <v>121</v>
      </c>
    </row>
    <row r="7" spans="1:28" x14ac:dyDescent="0.3">
      <c r="A7" s="43">
        <v>1</v>
      </c>
      <c r="B7" s="41"/>
      <c r="C7" s="42"/>
      <c r="D7" s="41"/>
      <c r="E7" s="42"/>
      <c r="F7" s="41"/>
      <c r="G7" s="1"/>
      <c r="H7" s="1"/>
      <c r="I7" s="1"/>
      <c r="J7" s="1"/>
      <c r="K7" s="1"/>
      <c r="L7" s="1"/>
      <c r="M7" s="1"/>
      <c r="N7" s="1"/>
      <c r="O7" s="1"/>
      <c r="P7" s="1"/>
      <c r="Q7" s="42"/>
      <c r="R7" s="37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43">
        <v>2</v>
      </c>
      <c r="B8" s="41"/>
      <c r="C8" s="42"/>
      <c r="D8" s="41"/>
      <c r="E8" s="42"/>
      <c r="F8" s="41"/>
      <c r="G8" s="1"/>
      <c r="H8" s="1"/>
      <c r="I8" s="1"/>
      <c r="J8" s="1"/>
      <c r="K8" s="1"/>
      <c r="L8" s="1"/>
      <c r="M8" s="1"/>
      <c r="N8" s="1"/>
      <c r="O8" s="1"/>
      <c r="P8" s="1"/>
      <c r="Q8" s="42"/>
      <c r="R8" s="37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43">
        <v>3</v>
      </c>
      <c r="B9" s="41"/>
      <c r="C9" s="42"/>
      <c r="D9" s="41"/>
      <c r="E9" s="42"/>
      <c r="F9" s="41"/>
      <c r="G9" s="1"/>
      <c r="H9" s="1"/>
      <c r="I9" s="1"/>
      <c r="J9" s="1"/>
      <c r="K9" s="1"/>
      <c r="L9" s="1"/>
      <c r="M9" s="1"/>
      <c r="N9" s="1"/>
      <c r="O9" s="1"/>
      <c r="P9" s="1"/>
      <c r="Q9" s="42"/>
      <c r="R9" s="37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43">
        <v>4</v>
      </c>
      <c r="B10" s="41"/>
      <c r="C10" s="42"/>
      <c r="D10" s="41"/>
      <c r="E10" s="42"/>
      <c r="F10" s="41"/>
      <c r="G10" s="1"/>
      <c r="H10" s="1"/>
      <c r="I10" s="1"/>
      <c r="J10" s="1"/>
      <c r="K10" s="1"/>
      <c r="L10" s="1"/>
      <c r="M10" s="1"/>
      <c r="N10" s="1"/>
      <c r="O10" s="1"/>
      <c r="P10" s="1"/>
      <c r="Q10" s="42"/>
      <c r="R10" s="37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43">
        <v>5</v>
      </c>
      <c r="B11" s="41"/>
      <c r="C11" s="42"/>
      <c r="D11" s="41"/>
      <c r="E11" s="42"/>
      <c r="F11" s="41"/>
      <c r="G11" s="1"/>
      <c r="H11" s="1"/>
      <c r="I11" s="1"/>
      <c r="J11" s="1"/>
      <c r="K11" s="1"/>
      <c r="L11" s="1"/>
      <c r="M11" s="1"/>
      <c r="N11" s="1"/>
      <c r="O11" s="1"/>
      <c r="P11" s="1"/>
      <c r="Q11" s="42"/>
      <c r="R11" s="37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43">
        <v>6</v>
      </c>
      <c r="B12" s="41"/>
      <c r="C12" s="42"/>
      <c r="D12" s="41"/>
      <c r="E12" s="42"/>
      <c r="F12" s="41"/>
      <c r="G12" s="1"/>
      <c r="H12" s="1"/>
      <c r="I12" s="1"/>
      <c r="J12" s="1"/>
      <c r="K12" s="1"/>
      <c r="L12" s="1"/>
      <c r="M12" s="1"/>
      <c r="N12" s="1"/>
      <c r="O12" s="1"/>
      <c r="P12" s="1"/>
      <c r="Q12" s="42"/>
      <c r="R12" s="37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43">
        <v>7</v>
      </c>
      <c r="B13" s="41"/>
      <c r="C13" s="42"/>
      <c r="D13" s="41"/>
      <c r="E13" s="42"/>
      <c r="F13" s="41"/>
      <c r="G13" s="1"/>
      <c r="H13" s="1"/>
      <c r="I13" s="1"/>
      <c r="J13" s="1"/>
      <c r="K13" s="1"/>
      <c r="L13" s="1"/>
      <c r="M13" s="1"/>
      <c r="N13" s="1"/>
      <c r="O13" s="1"/>
      <c r="P13" s="1"/>
      <c r="Q13" s="42"/>
      <c r="R13" s="37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43">
        <v>8</v>
      </c>
      <c r="B14" s="41"/>
      <c r="C14" s="42"/>
      <c r="D14" s="41"/>
      <c r="E14" s="42"/>
      <c r="F14" s="41"/>
      <c r="G14" s="1"/>
      <c r="H14" s="1"/>
      <c r="I14" s="1"/>
      <c r="J14" s="1"/>
      <c r="K14" s="1"/>
      <c r="L14" s="1"/>
      <c r="M14" s="1"/>
      <c r="N14" s="1"/>
      <c r="O14" s="1"/>
      <c r="P14" s="1"/>
      <c r="Q14" s="42"/>
      <c r="R14" s="37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43">
        <v>9</v>
      </c>
      <c r="B15" s="41"/>
      <c r="C15" s="42"/>
      <c r="D15" s="41"/>
      <c r="E15" s="42"/>
      <c r="F15" s="41"/>
      <c r="G15" s="1"/>
      <c r="H15" s="1"/>
      <c r="I15" s="1"/>
      <c r="J15" s="1"/>
      <c r="K15" s="1"/>
      <c r="L15" s="1"/>
      <c r="M15" s="1"/>
      <c r="N15" s="1"/>
      <c r="O15" s="1"/>
      <c r="P15" s="1"/>
      <c r="Q15" s="42"/>
      <c r="R15" s="37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43">
        <v>10</v>
      </c>
      <c r="B16" s="41"/>
      <c r="C16" s="42"/>
      <c r="D16" s="41"/>
      <c r="E16" s="42"/>
      <c r="F16" s="41"/>
      <c r="G16" s="1"/>
      <c r="H16" s="1"/>
      <c r="I16" s="1"/>
      <c r="J16" s="1"/>
      <c r="K16" s="1"/>
      <c r="L16" s="1"/>
      <c r="M16" s="1"/>
      <c r="N16" s="1"/>
      <c r="O16" s="1"/>
      <c r="P16" s="1"/>
      <c r="Q16" s="42"/>
      <c r="R16" s="37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43">
        <v>11</v>
      </c>
      <c r="B17" s="41"/>
      <c r="C17" s="42"/>
      <c r="D17" s="41"/>
      <c r="E17" s="42"/>
      <c r="F17" s="41"/>
      <c r="G17" s="1"/>
      <c r="H17" s="1"/>
      <c r="I17" s="1"/>
      <c r="J17" s="1"/>
      <c r="K17" s="1"/>
      <c r="L17" s="1"/>
      <c r="M17" s="1"/>
      <c r="N17" s="1"/>
      <c r="O17" s="1"/>
      <c r="P17" s="1"/>
      <c r="Q17" s="42"/>
      <c r="R17" s="37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43">
        <v>12</v>
      </c>
      <c r="B18" s="41"/>
      <c r="C18" s="42"/>
      <c r="D18" s="41"/>
      <c r="E18" s="42"/>
      <c r="F18" s="41"/>
      <c r="G18" s="1"/>
      <c r="H18" s="1"/>
      <c r="I18" s="1"/>
      <c r="J18" s="1"/>
      <c r="K18" s="1"/>
      <c r="L18" s="1"/>
      <c r="M18" s="1"/>
      <c r="N18" s="1"/>
      <c r="O18" s="1"/>
      <c r="P18" s="1"/>
      <c r="Q18" s="42"/>
      <c r="R18" s="37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43">
        <v>13</v>
      </c>
      <c r="B19" s="41"/>
      <c r="C19" s="42"/>
      <c r="D19" s="41"/>
      <c r="E19" s="42"/>
      <c r="F19" s="41"/>
      <c r="G19" s="1"/>
      <c r="H19" s="1"/>
      <c r="I19" s="1"/>
      <c r="J19" s="1"/>
      <c r="K19" s="1"/>
      <c r="L19" s="1"/>
      <c r="M19" s="1"/>
      <c r="N19" s="1"/>
      <c r="O19" s="1"/>
      <c r="P19" s="1"/>
      <c r="Q19" s="42"/>
      <c r="R19" s="37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43">
        <v>14</v>
      </c>
      <c r="B20" s="41"/>
      <c r="C20" s="42"/>
      <c r="D20" s="41"/>
      <c r="E20" s="42"/>
      <c r="F20" s="41"/>
      <c r="G20" s="1"/>
      <c r="H20" s="1"/>
      <c r="I20" s="1"/>
      <c r="J20" s="1"/>
      <c r="K20" s="1"/>
      <c r="L20" s="1"/>
      <c r="M20" s="1"/>
      <c r="N20" s="1"/>
      <c r="O20" s="1"/>
      <c r="P20" s="1"/>
      <c r="Q20" s="42"/>
      <c r="R20" s="37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43">
        <v>15</v>
      </c>
      <c r="B21" s="41"/>
      <c r="C21" s="42"/>
      <c r="D21" s="41"/>
      <c r="E21" s="42"/>
      <c r="F21" s="41"/>
      <c r="G21" s="1"/>
      <c r="H21" s="1"/>
      <c r="I21" s="1"/>
      <c r="J21" s="1"/>
      <c r="K21" s="1"/>
      <c r="L21" s="1"/>
      <c r="M21" s="1"/>
      <c r="N21" s="1"/>
      <c r="O21" s="1"/>
      <c r="P21" s="1"/>
      <c r="Q21" s="42"/>
      <c r="R21" s="37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43">
        <v>16</v>
      </c>
      <c r="B22" s="41"/>
      <c r="C22" s="42"/>
      <c r="D22" s="41"/>
      <c r="E22" s="42"/>
      <c r="F22" s="41"/>
      <c r="G22" s="1"/>
      <c r="H22" s="1"/>
      <c r="I22" s="1"/>
      <c r="J22" s="1"/>
      <c r="K22" s="1"/>
      <c r="L22" s="1"/>
      <c r="M22" s="1"/>
      <c r="N22" s="1"/>
      <c r="O22" s="1"/>
      <c r="P22" s="1"/>
      <c r="Q22" s="42"/>
      <c r="R22" s="37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43">
        <v>17</v>
      </c>
      <c r="B23" s="41"/>
      <c r="C23" s="42"/>
      <c r="D23" s="41"/>
      <c r="E23" s="42"/>
      <c r="F23" s="41"/>
      <c r="G23" s="1"/>
      <c r="H23" s="1"/>
      <c r="I23" s="1"/>
      <c r="J23" s="1"/>
      <c r="K23" s="1"/>
      <c r="L23" s="1"/>
      <c r="M23" s="1"/>
      <c r="N23" s="1"/>
      <c r="O23" s="1"/>
      <c r="P23" s="1"/>
      <c r="Q23" s="42"/>
      <c r="R23" s="37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 s="43">
        <v>18</v>
      </c>
      <c r="B24" s="41"/>
      <c r="C24" s="42"/>
      <c r="D24" s="41"/>
      <c r="E24" s="42"/>
      <c r="F24" s="41"/>
      <c r="G24" s="1"/>
      <c r="H24" s="1"/>
      <c r="I24" s="1"/>
      <c r="J24" s="1"/>
      <c r="K24" s="1"/>
      <c r="L24" s="1"/>
      <c r="M24" s="1"/>
      <c r="N24" s="1"/>
      <c r="O24" s="1"/>
      <c r="P24" s="1"/>
      <c r="Q24" s="42"/>
      <c r="R24" s="37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43">
        <v>19</v>
      </c>
      <c r="B25" s="41"/>
      <c r="C25" s="42"/>
      <c r="D25" s="41"/>
      <c r="E25" s="42"/>
      <c r="F25" s="41"/>
      <c r="G25" s="1"/>
      <c r="H25" s="1"/>
      <c r="I25" s="1"/>
      <c r="J25" s="1"/>
      <c r="K25" s="1"/>
      <c r="L25" s="1"/>
      <c r="M25" s="1"/>
      <c r="N25" s="1"/>
      <c r="O25" s="1"/>
      <c r="P25" s="1"/>
      <c r="Q25" s="42"/>
      <c r="R25" s="37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43">
        <v>20</v>
      </c>
      <c r="B26" s="41"/>
      <c r="C26" s="42"/>
      <c r="D26" s="41"/>
      <c r="E26" s="42"/>
      <c r="F26" s="41"/>
      <c r="G26" s="1"/>
      <c r="H26" s="1"/>
      <c r="I26" s="1"/>
      <c r="J26" s="1"/>
      <c r="K26" s="1"/>
      <c r="L26" s="1"/>
      <c r="M26" s="1"/>
      <c r="N26" s="1"/>
      <c r="O26" s="1"/>
      <c r="P26" s="1"/>
      <c r="Q26" s="42"/>
      <c r="R26" s="37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43">
        <v>21</v>
      </c>
      <c r="B27" s="41"/>
      <c r="C27" s="42"/>
      <c r="D27" s="41"/>
      <c r="E27" s="42"/>
      <c r="F27" s="41"/>
      <c r="G27" s="1"/>
      <c r="H27" s="1"/>
      <c r="I27" s="1"/>
      <c r="J27" s="1"/>
      <c r="K27" s="1"/>
      <c r="L27" s="1"/>
      <c r="M27" s="1"/>
      <c r="N27" s="1"/>
      <c r="O27" s="1"/>
      <c r="P27" s="1"/>
      <c r="Q27" s="42"/>
      <c r="R27" s="37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43">
        <v>22</v>
      </c>
      <c r="B28" s="41"/>
      <c r="C28" s="42"/>
      <c r="D28" s="41"/>
      <c r="E28" s="42"/>
      <c r="F28" s="41"/>
      <c r="G28" s="1"/>
      <c r="H28" s="1"/>
      <c r="I28" s="1"/>
      <c r="J28" s="1"/>
      <c r="K28" s="1"/>
      <c r="L28" s="1"/>
      <c r="M28" s="1"/>
      <c r="N28" s="1"/>
      <c r="O28" s="1"/>
      <c r="P28" s="1"/>
      <c r="Q28" s="42"/>
      <c r="R28" s="37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7.25" thickBot="1" x14ac:dyDescent="0.35">
      <c r="A29" s="44">
        <v>23</v>
      </c>
      <c r="B29" s="7"/>
      <c r="C29" s="9"/>
      <c r="D29" s="7"/>
      <c r="E29" s="9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37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1" spans="1:28" ht="17.25" thickBot="1" x14ac:dyDescent="0.35"/>
    <row r="32" spans="1:28" x14ac:dyDescent="0.3">
      <c r="A32" s="111" t="s">
        <v>146</v>
      </c>
      <c r="B32" s="63" t="s">
        <v>168</v>
      </c>
      <c r="C32" s="85"/>
      <c r="D32" s="85"/>
      <c r="E32" s="85"/>
      <c r="F32" s="85"/>
      <c r="G32" s="85"/>
      <c r="H32" s="85"/>
      <c r="I32" s="85"/>
      <c r="J32" s="85"/>
      <c r="K32" s="85"/>
      <c r="L32" s="64"/>
      <c r="M32" s="63" t="s">
        <v>169</v>
      </c>
      <c r="N32" s="85"/>
      <c r="O32" s="85"/>
      <c r="P32" s="85"/>
      <c r="Q32" s="85"/>
      <c r="R32" s="85"/>
      <c r="S32" s="85"/>
      <c r="T32" s="85"/>
      <c r="U32" s="85"/>
      <c r="V32" s="85"/>
      <c r="W32" s="64"/>
    </row>
    <row r="33" spans="1:23" ht="17.25" thickBot="1" x14ac:dyDescent="0.35">
      <c r="A33" s="112"/>
      <c r="B33" s="38" t="s">
        <v>153</v>
      </c>
      <c r="C33" s="35" t="s">
        <v>154</v>
      </c>
      <c r="D33" s="35" t="s">
        <v>155</v>
      </c>
      <c r="E33" s="35" t="s">
        <v>156</v>
      </c>
      <c r="F33" s="35" t="s">
        <v>157</v>
      </c>
      <c r="G33" s="35" t="s">
        <v>158</v>
      </c>
      <c r="H33" s="35" t="s">
        <v>159</v>
      </c>
      <c r="I33" s="35" t="s">
        <v>160</v>
      </c>
      <c r="J33" s="35" t="s">
        <v>161</v>
      </c>
      <c r="K33" s="35" t="s">
        <v>163</v>
      </c>
      <c r="L33" s="36" t="s">
        <v>165</v>
      </c>
      <c r="M33" s="38" t="s">
        <v>153</v>
      </c>
      <c r="N33" s="35" t="s">
        <v>154</v>
      </c>
      <c r="O33" s="35" t="s">
        <v>155</v>
      </c>
      <c r="P33" s="35" t="s">
        <v>156</v>
      </c>
      <c r="Q33" s="35" t="s">
        <v>157</v>
      </c>
      <c r="R33" s="35" t="s">
        <v>158</v>
      </c>
      <c r="S33" s="35" t="s">
        <v>159</v>
      </c>
      <c r="T33" s="35" t="s">
        <v>160</v>
      </c>
      <c r="U33" s="35" t="s">
        <v>161</v>
      </c>
      <c r="V33" s="35" t="s">
        <v>163</v>
      </c>
      <c r="W33" s="36" t="s">
        <v>165</v>
      </c>
    </row>
    <row r="34" spans="1:23" x14ac:dyDescent="0.3">
      <c r="A34" s="13">
        <v>0</v>
      </c>
      <c r="B34" s="39" t="s">
        <v>122</v>
      </c>
      <c r="C34" s="34" t="s">
        <v>123</v>
      </c>
      <c r="D34" s="34" t="s">
        <v>124</v>
      </c>
      <c r="E34" s="34" t="s">
        <v>125</v>
      </c>
      <c r="F34" s="34" t="s">
        <v>126</v>
      </c>
      <c r="G34" s="34" t="s">
        <v>127</v>
      </c>
      <c r="H34" s="34" t="s">
        <v>128</v>
      </c>
      <c r="I34" s="34" t="s">
        <v>129</v>
      </c>
      <c r="J34" s="34" t="s">
        <v>130</v>
      </c>
      <c r="K34" s="34" t="s">
        <v>131</v>
      </c>
      <c r="L34" s="40" t="s">
        <v>132</v>
      </c>
      <c r="M34" s="39" t="s">
        <v>133</v>
      </c>
      <c r="N34" s="34" t="s">
        <v>134</v>
      </c>
      <c r="O34" s="34" t="s">
        <v>135</v>
      </c>
      <c r="P34" s="34" t="s">
        <v>136</v>
      </c>
      <c r="Q34" s="34" t="s">
        <v>137</v>
      </c>
      <c r="R34" s="34" t="s">
        <v>138</v>
      </c>
      <c r="S34" s="34" t="s">
        <v>139</v>
      </c>
      <c r="T34" s="34" t="s">
        <v>140</v>
      </c>
      <c r="U34" s="34" t="s">
        <v>141</v>
      </c>
      <c r="V34" s="34" t="s">
        <v>142</v>
      </c>
      <c r="W34" s="40" t="s">
        <v>143</v>
      </c>
    </row>
    <row r="35" spans="1:23" x14ac:dyDescent="0.3">
      <c r="A35" s="3">
        <v>1</v>
      </c>
      <c r="B35" s="41"/>
      <c r="C35" s="1"/>
      <c r="D35" s="1"/>
      <c r="E35" s="1"/>
      <c r="F35" s="1"/>
      <c r="G35" s="1"/>
      <c r="H35" s="1"/>
      <c r="I35" s="1"/>
      <c r="J35" s="1"/>
      <c r="K35" s="1"/>
      <c r="L35" s="42"/>
      <c r="M35" s="41"/>
      <c r="N35" s="1"/>
      <c r="O35" s="1"/>
      <c r="P35" s="1"/>
      <c r="Q35" s="1"/>
      <c r="R35" s="1"/>
      <c r="S35" s="1"/>
      <c r="T35" s="1"/>
      <c r="U35" s="1"/>
      <c r="V35" s="1"/>
      <c r="W35" s="42"/>
    </row>
    <row r="36" spans="1:23" x14ac:dyDescent="0.3">
      <c r="A36" s="3">
        <v>2</v>
      </c>
      <c r="B36" s="41"/>
      <c r="C36" s="1"/>
      <c r="D36" s="1"/>
      <c r="E36" s="1"/>
      <c r="F36" s="1"/>
      <c r="G36" s="1"/>
      <c r="H36" s="1"/>
      <c r="I36" s="1"/>
      <c r="J36" s="1"/>
      <c r="K36" s="1"/>
      <c r="L36" s="42"/>
      <c r="M36" s="41"/>
      <c r="N36" s="1"/>
      <c r="O36" s="1"/>
      <c r="P36" s="1"/>
      <c r="Q36" s="1"/>
      <c r="R36" s="1"/>
      <c r="S36" s="1"/>
      <c r="T36" s="1"/>
      <c r="U36" s="1"/>
      <c r="V36" s="1"/>
      <c r="W36" s="42"/>
    </row>
    <row r="37" spans="1:23" x14ac:dyDescent="0.3">
      <c r="A37" s="3">
        <v>3</v>
      </c>
      <c r="B37" s="41"/>
      <c r="C37" s="1"/>
      <c r="D37" s="1"/>
      <c r="E37" s="1"/>
      <c r="F37" s="1"/>
      <c r="G37" s="1"/>
      <c r="H37" s="1"/>
      <c r="I37" s="1"/>
      <c r="J37" s="1"/>
      <c r="K37" s="1"/>
      <c r="L37" s="42"/>
      <c r="M37" s="41"/>
      <c r="N37" s="1"/>
      <c r="O37" s="1"/>
      <c r="P37" s="1"/>
      <c r="Q37" s="1"/>
      <c r="R37" s="1"/>
      <c r="S37" s="1"/>
      <c r="T37" s="1"/>
      <c r="U37" s="1"/>
      <c r="V37" s="1"/>
      <c r="W37" s="42"/>
    </row>
    <row r="38" spans="1:23" x14ac:dyDescent="0.3">
      <c r="A38" s="3">
        <v>4</v>
      </c>
      <c r="B38" s="41"/>
      <c r="C38" s="1"/>
      <c r="D38" s="1"/>
      <c r="E38" s="1"/>
      <c r="F38" s="1"/>
      <c r="G38" s="1"/>
      <c r="H38" s="1"/>
      <c r="I38" s="1"/>
      <c r="J38" s="1"/>
      <c r="K38" s="1"/>
      <c r="L38" s="42"/>
      <c r="M38" s="41"/>
      <c r="N38" s="1"/>
      <c r="O38" s="1"/>
      <c r="P38" s="1"/>
      <c r="Q38" s="1"/>
      <c r="R38" s="1"/>
      <c r="S38" s="1"/>
      <c r="T38" s="1"/>
      <c r="U38" s="1"/>
      <c r="V38" s="1"/>
      <c r="W38" s="42"/>
    </row>
    <row r="39" spans="1:23" x14ac:dyDescent="0.3">
      <c r="A39" s="3">
        <v>5</v>
      </c>
      <c r="B39" s="41"/>
      <c r="C39" s="1"/>
      <c r="D39" s="1"/>
      <c r="E39" s="1"/>
      <c r="F39" s="1"/>
      <c r="G39" s="1"/>
      <c r="H39" s="1"/>
      <c r="I39" s="1"/>
      <c r="J39" s="1"/>
      <c r="K39" s="1"/>
      <c r="L39" s="42"/>
      <c r="M39" s="41"/>
      <c r="N39" s="1"/>
      <c r="O39" s="1"/>
      <c r="P39" s="1"/>
      <c r="Q39" s="1"/>
      <c r="R39" s="1"/>
      <c r="S39" s="1"/>
      <c r="T39" s="1"/>
      <c r="U39" s="1"/>
      <c r="V39" s="1"/>
      <c r="W39" s="42"/>
    </row>
    <row r="40" spans="1:23" x14ac:dyDescent="0.3">
      <c r="A40" s="3">
        <v>6</v>
      </c>
      <c r="B40" s="41"/>
      <c r="C40" s="1"/>
      <c r="D40" s="1"/>
      <c r="E40" s="1"/>
      <c r="F40" s="1"/>
      <c r="G40" s="1"/>
      <c r="H40" s="1"/>
      <c r="I40" s="1"/>
      <c r="J40" s="1"/>
      <c r="K40" s="1"/>
      <c r="L40" s="42"/>
      <c r="M40" s="41"/>
      <c r="N40" s="1"/>
      <c r="O40" s="1"/>
      <c r="P40" s="1"/>
      <c r="Q40" s="1"/>
      <c r="R40" s="1"/>
      <c r="S40" s="1"/>
      <c r="T40" s="1"/>
      <c r="U40" s="1"/>
      <c r="V40" s="1"/>
      <c r="W40" s="42"/>
    </row>
    <row r="41" spans="1:23" x14ac:dyDescent="0.3">
      <c r="A41" s="3">
        <v>7</v>
      </c>
      <c r="B41" s="41"/>
      <c r="C41" s="1"/>
      <c r="D41" s="1"/>
      <c r="E41" s="1"/>
      <c r="F41" s="1"/>
      <c r="G41" s="1"/>
      <c r="H41" s="1"/>
      <c r="I41" s="1"/>
      <c r="J41" s="1"/>
      <c r="K41" s="1"/>
      <c r="L41" s="42"/>
      <c r="M41" s="41"/>
      <c r="N41" s="1"/>
      <c r="O41" s="1"/>
      <c r="P41" s="1"/>
      <c r="Q41" s="1"/>
      <c r="R41" s="1"/>
      <c r="S41" s="1"/>
      <c r="T41" s="1"/>
      <c r="U41" s="1"/>
      <c r="V41" s="1"/>
      <c r="W41" s="42"/>
    </row>
    <row r="42" spans="1:23" x14ac:dyDescent="0.3">
      <c r="A42" s="3">
        <v>8</v>
      </c>
      <c r="B42" s="41"/>
      <c r="C42" s="1"/>
      <c r="D42" s="1"/>
      <c r="E42" s="1"/>
      <c r="F42" s="1"/>
      <c r="G42" s="1"/>
      <c r="H42" s="1"/>
      <c r="I42" s="1"/>
      <c r="J42" s="1"/>
      <c r="K42" s="1"/>
      <c r="L42" s="42"/>
      <c r="M42" s="41"/>
      <c r="N42" s="1"/>
      <c r="O42" s="1"/>
      <c r="P42" s="1"/>
      <c r="Q42" s="1"/>
      <c r="R42" s="1"/>
      <c r="S42" s="1"/>
      <c r="T42" s="1"/>
      <c r="U42" s="1"/>
      <c r="V42" s="1"/>
      <c r="W42" s="42"/>
    </row>
    <row r="43" spans="1:23" x14ac:dyDescent="0.3">
      <c r="A43" s="3">
        <v>9</v>
      </c>
      <c r="B43" s="41"/>
      <c r="C43" s="1"/>
      <c r="D43" s="1"/>
      <c r="E43" s="1"/>
      <c r="F43" s="1"/>
      <c r="G43" s="1"/>
      <c r="H43" s="1"/>
      <c r="I43" s="1"/>
      <c r="J43" s="1"/>
      <c r="K43" s="1"/>
      <c r="L43" s="42"/>
      <c r="M43" s="41"/>
      <c r="N43" s="1"/>
      <c r="O43" s="1"/>
      <c r="P43" s="1"/>
      <c r="Q43" s="1"/>
      <c r="R43" s="1"/>
      <c r="S43" s="1"/>
      <c r="T43" s="1"/>
      <c r="U43" s="1"/>
      <c r="V43" s="1"/>
      <c r="W43" s="42"/>
    </row>
    <row r="44" spans="1:23" x14ac:dyDescent="0.3">
      <c r="A44" s="3">
        <v>10</v>
      </c>
      <c r="B44" s="41"/>
      <c r="C44" s="1"/>
      <c r="D44" s="1"/>
      <c r="E44" s="1"/>
      <c r="F44" s="1"/>
      <c r="G44" s="1"/>
      <c r="H44" s="1"/>
      <c r="I44" s="1"/>
      <c r="J44" s="1"/>
      <c r="K44" s="1"/>
      <c r="L44" s="42"/>
      <c r="M44" s="41"/>
      <c r="N44" s="1"/>
      <c r="O44" s="1"/>
      <c r="P44" s="1"/>
      <c r="Q44" s="1"/>
      <c r="R44" s="1"/>
      <c r="S44" s="1"/>
      <c r="T44" s="1"/>
      <c r="U44" s="1"/>
      <c r="V44" s="1"/>
      <c r="W44" s="42"/>
    </row>
    <row r="45" spans="1:23" x14ac:dyDescent="0.3">
      <c r="A45" s="3">
        <v>11</v>
      </c>
      <c r="B45" s="41"/>
      <c r="C45" s="1"/>
      <c r="D45" s="1"/>
      <c r="E45" s="1"/>
      <c r="F45" s="1"/>
      <c r="G45" s="1"/>
      <c r="H45" s="1"/>
      <c r="I45" s="1"/>
      <c r="J45" s="1"/>
      <c r="K45" s="1"/>
      <c r="L45" s="42"/>
      <c r="M45" s="41"/>
      <c r="N45" s="1"/>
      <c r="O45" s="1"/>
      <c r="P45" s="1"/>
      <c r="Q45" s="1"/>
      <c r="R45" s="1"/>
      <c r="S45" s="1"/>
      <c r="T45" s="1"/>
      <c r="U45" s="1"/>
      <c r="V45" s="1"/>
      <c r="W45" s="42"/>
    </row>
    <row r="46" spans="1:23" x14ac:dyDescent="0.3">
      <c r="A46" s="3">
        <v>12</v>
      </c>
      <c r="B46" s="41"/>
      <c r="C46" s="1"/>
      <c r="D46" s="1"/>
      <c r="E46" s="1"/>
      <c r="F46" s="1"/>
      <c r="G46" s="1"/>
      <c r="H46" s="1"/>
      <c r="I46" s="1"/>
      <c r="J46" s="1"/>
      <c r="K46" s="1"/>
      <c r="L46" s="42"/>
      <c r="M46" s="41"/>
      <c r="N46" s="1"/>
      <c r="O46" s="1"/>
      <c r="P46" s="1"/>
      <c r="Q46" s="1"/>
      <c r="R46" s="1"/>
      <c r="S46" s="1"/>
      <c r="T46" s="1"/>
      <c r="U46" s="1"/>
      <c r="V46" s="1"/>
      <c r="W46" s="42"/>
    </row>
    <row r="47" spans="1:23" x14ac:dyDescent="0.3">
      <c r="A47" s="3">
        <v>13</v>
      </c>
      <c r="B47" s="41"/>
      <c r="C47" s="1"/>
      <c r="D47" s="1"/>
      <c r="E47" s="1"/>
      <c r="F47" s="1"/>
      <c r="G47" s="1"/>
      <c r="H47" s="1"/>
      <c r="I47" s="1"/>
      <c r="J47" s="1"/>
      <c r="K47" s="1"/>
      <c r="L47" s="42"/>
      <c r="M47" s="41"/>
      <c r="N47" s="1"/>
      <c r="O47" s="1"/>
      <c r="P47" s="1"/>
      <c r="Q47" s="1"/>
      <c r="R47" s="1"/>
      <c r="S47" s="1"/>
      <c r="T47" s="1"/>
      <c r="U47" s="1"/>
      <c r="V47" s="1"/>
      <c r="W47" s="42"/>
    </row>
    <row r="48" spans="1:23" x14ac:dyDescent="0.3">
      <c r="A48" s="3">
        <v>14</v>
      </c>
      <c r="B48" s="41"/>
      <c r="C48" s="1"/>
      <c r="D48" s="1"/>
      <c r="E48" s="1"/>
      <c r="F48" s="1"/>
      <c r="G48" s="1"/>
      <c r="H48" s="1"/>
      <c r="I48" s="1"/>
      <c r="J48" s="1"/>
      <c r="K48" s="1"/>
      <c r="L48" s="42"/>
      <c r="M48" s="41"/>
      <c r="N48" s="1"/>
      <c r="O48" s="1"/>
      <c r="P48" s="1"/>
      <c r="Q48" s="1"/>
      <c r="R48" s="1"/>
      <c r="S48" s="1"/>
      <c r="T48" s="1"/>
      <c r="U48" s="1"/>
      <c r="V48" s="1"/>
      <c r="W48" s="42"/>
    </row>
    <row r="49" spans="1:23" x14ac:dyDescent="0.3">
      <c r="A49" s="3">
        <v>15</v>
      </c>
      <c r="B49" s="41"/>
      <c r="C49" s="1"/>
      <c r="D49" s="1"/>
      <c r="E49" s="1"/>
      <c r="F49" s="1"/>
      <c r="G49" s="1"/>
      <c r="H49" s="1"/>
      <c r="I49" s="1"/>
      <c r="J49" s="1"/>
      <c r="K49" s="1"/>
      <c r="L49" s="42"/>
      <c r="M49" s="41"/>
      <c r="N49" s="1"/>
      <c r="O49" s="1"/>
      <c r="P49" s="1"/>
      <c r="Q49" s="1"/>
      <c r="R49" s="1"/>
      <c r="S49" s="1"/>
      <c r="T49" s="1"/>
      <c r="U49" s="1"/>
      <c r="V49" s="1"/>
      <c r="W49" s="42"/>
    </row>
    <row r="50" spans="1:23" x14ac:dyDescent="0.3">
      <c r="A50" s="3">
        <v>16</v>
      </c>
      <c r="B50" s="41"/>
      <c r="C50" s="1"/>
      <c r="D50" s="1"/>
      <c r="E50" s="1"/>
      <c r="F50" s="1"/>
      <c r="G50" s="1"/>
      <c r="H50" s="1"/>
      <c r="I50" s="1"/>
      <c r="J50" s="1"/>
      <c r="K50" s="1"/>
      <c r="L50" s="42"/>
      <c r="M50" s="41"/>
      <c r="N50" s="1"/>
      <c r="O50" s="1"/>
      <c r="P50" s="1"/>
      <c r="Q50" s="1"/>
      <c r="R50" s="1"/>
      <c r="S50" s="1"/>
      <c r="T50" s="1"/>
      <c r="U50" s="1"/>
      <c r="V50" s="1"/>
      <c r="W50" s="42"/>
    </row>
    <row r="51" spans="1:23" x14ac:dyDescent="0.3">
      <c r="A51" s="3">
        <v>17</v>
      </c>
      <c r="B51" s="41"/>
      <c r="C51" s="1"/>
      <c r="D51" s="1"/>
      <c r="E51" s="1"/>
      <c r="F51" s="1"/>
      <c r="G51" s="1"/>
      <c r="H51" s="1"/>
      <c r="I51" s="1"/>
      <c r="J51" s="1"/>
      <c r="K51" s="1"/>
      <c r="L51" s="42"/>
      <c r="M51" s="41"/>
      <c r="N51" s="1"/>
      <c r="O51" s="1"/>
      <c r="P51" s="1"/>
      <c r="Q51" s="1"/>
      <c r="R51" s="1"/>
      <c r="S51" s="1"/>
      <c r="T51" s="1"/>
      <c r="U51" s="1"/>
      <c r="V51" s="1"/>
      <c r="W51" s="42"/>
    </row>
    <row r="52" spans="1:23" x14ac:dyDescent="0.3">
      <c r="A52" s="3">
        <v>18</v>
      </c>
      <c r="B52" s="41"/>
      <c r="C52" s="1"/>
      <c r="D52" s="1"/>
      <c r="E52" s="1"/>
      <c r="F52" s="1"/>
      <c r="G52" s="1"/>
      <c r="H52" s="1"/>
      <c r="I52" s="1"/>
      <c r="J52" s="1"/>
      <c r="K52" s="1"/>
      <c r="L52" s="42"/>
      <c r="M52" s="41"/>
      <c r="N52" s="1"/>
      <c r="O52" s="1"/>
      <c r="P52" s="1"/>
      <c r="Q52" s="1"/>
      <c r="R52" s="1"/>
      <c r="S52" s="1"/>
      <c r="T52" s="1"/>
      <c r="U52" s="1"/>
      <c r="V52" s="1"/>
      <c r="W52" s="42"/>
    </row>
    <row r="53" spans="1:23" x14ac:dyDescent="0.3">
      <c r="A53" s="3">
        <v>19</v>
      </c>
      <c r="B53" s="41"/>
      <c r="C53" s="1"/>
      <c r="D53" s="1"/>
      <c r="E53" s="1"/>
      <c r="F53" s="1"/>
      <c r="G53" s="1"/>
      <c r="H53" s="1"/>
      <c r="I53" s="1"/>
      <c r="J53" s="1"/>
      <c r="K53" s="1"/>
      <c r="L53" s="42"/>
      <c r="M53" s="41"/>
      <c r="N53" s="1"/>
      <c r="O53" s="1"/>
      <c r="P53" s="1"/>
      <c r="Q53" s="1"/>
      <c r="R53" s="1"/>
      <c r="S53" s="1"/>
      <c r="T53" s="1"/>
      <c r="U53" s="1"/>
      <c r="V53" s="1"/>
      <c r="W53" s="42"/>
    </row>
    <row r="54" spans="1:23" x14ac:dyDescent="0.3">
      <c r="A54" s="3">
        <v>20</v>
      </c>
      <c r="B54" s="41"/>
      <c r="C54" s="1"/>
      <c r="D54" s="1"/>
      <c r="E54" s="1"/>
      <c r="F54" s="1"/>
      <c r="G54" s="1"/>
      <c r="H54" s="1"/>
      <c r="I54" s="1"/>
      <c r="J54" s="1"/>
      <c r="K54" s="1"/>
      <c r="L54" s="42"/>
      <c r="M54" s="41"/>
      <c r="N54" s="1"/>
      <c r="O54" s="1"/>
      <c r="P54" s="1"/>
      <c r="Q54" s="1"/>
      <c r="R54" s="1"/>
      <c r="S54" s="1"/>
      <c r="T54" s="1"/>
      <c r="U54" s="1"/>
      <c r="V54" s="1"/>
      <c r="W54" s="42"/>
    </row>
    <row r="55" spans="1:23" x14ac:dyDescent="0.3">
      <c r="A55" s="3">
        <v>21</v>
      </c>
      <c r="B55" s="41"/>
      <c r="C55" s="1"/>
      <c r="D55" s="1"/>
      <c r="E55" s="1"/>
      <c r="F55" s="1"/>
      <c r="G55" s="1"/>
      <c r="H55" s="1"/>
      <c r="I55" s="1"/>
      <c r="J55" s="1"/>
      <c r="K55" s="1"/>
      <c r="L55" s="42"/>
      <c r="M55" s="41"/>
      <c r="N55" s="1"/>
      <c r="O55" s="1"/>
      <c r="P55" s="1"/>
      <c r="Q55" s="1"/>
      <c r="R55" s="1"/>
      <c r="S55" s="1"/>
      <c r="T55" s="1"/>
      <c r="U55" s="1"/>
      <c r="V55" s="1"/>
      <c r="W55" s="42"/>
    </row>
    <row r="56" spans="1:23" x14ac:dyDescent="0.3">
      <c r="A56" s="3">
        <v>22</v>
      </c>
      <c r="B56" s="41"/>
      <c r="C56" s="1"/>
      <c r="D56" s="1"/>
      <c r="E56" s="1"/>
      <c r="F56" s="1"/>
      <c r="G56" s="1"/>
      <c r="H56" s="1"/>
      <c r="I56" s="1"/>
      <c r="J56" s="1"/>
      <c r="K56" s="1"/>
      <c r="L56" s="42"/>
      <c r="M56" s="41"/>
      <c r="N56" s="1"/>
      <c r="O56" s="1"/>
      <c r="P56" s="1"/>
      <c r="Q56" s="1"/>
      <c r="R56" s="1"/>
      <c r="S56" s="1"/>
      <c r="T56" s="1"/>
      <c r="U56" s="1"/>
      <c r="V56" s="1"/>
      <c r="W56" s="42"/>
    </row>
    <row r="57" spans="1:23" x14ac:dyDescent="0.3">
      <c r="A57" s="3">
        <v>22</v>
      </c>
      <c r="B57" s="41"/>
      <c r="C57" s="1"/>
      <c r="D57" s="1"/>
      <c r="E57" s="1"/>
      <c r="F57" s="1"/>
      <c r="G57" s="1"/>
      <c r="H57" s="1"/>
      <c r="I57" s="1"/>
      <c r="J57" s="1"/>
      <c r="K57" s="1"/>
      <c r="L57" s="42"/>
      <c r="M57" s="41"/>
      <c r="N57" s="1"/>
      <c r="O57" s="1"/>
      <c r="P57" s="1"/>
      <c r="Q57" s="1"/>
      <c r="R57" s="1"/>
      <c r="S57" s="1"/>
      <c r="T57" s="1"/>
      <c r="U57" s="1"/>
      <c r="V57" s="1"/>
      <c r="W57" s="42"/>
    </row>
    <row r="58" spans="1:23" ht="17.25" thickBot="1" x14ac:dyDescent="0.35">
      <c r="A58" s="3">
        <v>23</v>
      </c>
      <c r="B58" s="7"/>
      <c r="C58" s="8"/>
      <c r="D58" s="8"/>
      <c r="E58" s="8"/>
      <c r="F58" s="8"/>
      <c r="G58" s="8"/>
      <c r="H58" s="8"/>
      <c r="I58" s="8"/>
      <c r="J58" s="8"/>
      <c r="K58" s="8"/>
      <c r="L58" s="9"/>
      <c r="M58" s="7"/>
      <c r="N58" s="8"/>
      <c r="O58" s="8"/>
      <c r="P58" s="8"/>
      <c r="Q58" s="8"/>
      <c r="R58" s="8"/>
      <c r="S58" s="8"/>
      <c r="T58" s="8"/>
      <c r="U58" s="8"/>
      <c r="V58" s="8"/>
      <c r="W58" s="9"/>
    </row>
  </sheetData>
  <mergeCells count="9">
    <mergeCell ref="M32:W32"/>
    <mergeCell ref="B32:L32"/>
    <mergeCell ref="F4:Q4"/>
    <mergeCell ref="R4:AB4"/>
    <mergeCell ref="A32:A33"/>
    <mergeCell ref="A4:A5"/>
    <mergeCell ref="D4:E4"/>
    <mergeCell ref="B4:B5"/>
    <mergeCell ref="C4:C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전력설비_운전현황</vt:lpstr>
      <vt:lpstr>상세내역</vt:lpstr>
      <vt:lpstr>전력설비_운전현황!Print_Area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래미안개포루체하임 일원동</dc:creator>
  <cp:lastModifiedBy>래미안개포루체하임 일원동</cp:lastModifiedBy>
  <cp:lastPrinted>2026-05-22T01:41:03Z</cp:lastPrinted>
  <dcterms:created xsi:type="dcterms:W3CDTF">2026-05-21T01:18:20Z</dcterms:created>
  <dcterms:modified xsi:type="dcterms:W3CDTF">2026-05-22T06:11:27Z</dcterms:modified>
</cp:coreProperties>
</file>